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/>
  <mc:AlternateContent xmlns:mc="http://schemas.openxmlformats.org/markup-compatibility/2006">
    <mc:Choice Requires="x15">
      <x15ac:absPath xmlns:x15ac="http://schemas.microsoft.com/office/spreadsheetml/2010/11/ac" url="/Users/sebastianescobar/Desktop/CubeSatMissionPlanner/Data Files/"/>
    </mc:Choice>
  </mc:AlternateContent>
  <xr:revisionPtr revIDLastSave="0" documentId="13_ncr:1_{D230D0FB-806C-654B-93F2-7F442BA901DD}" xr6:coauthVersionLast="47" xr6:coauthVersionMax="47" xr10:uidLastSave="{00000000-0000-0000-0000-000000000000}"/>
  <bookViews>
    <workbookView xWindow="3840" yWindow="680" windowWidth="18200" windowHeight="13560" activeTab="2" xr2:uid="{00000000-000D-0000-FFFF-FFFF00000000}"/>
  </bookViews>
  <sheets>
    <sheet name="Targets_Info" sheetId="1" r:id="rId1"/>
    <sheet name="Survey_Info" sheetId="2" r:id="rId2"/>
    <sheet name="PowerBudget_Info" sheetId="3" r:id="rId3"/>
    <sheet name="DataBudget_Info" sheetId="4" r:id="rId4"/>
    <sheet name="PlanPropagation_Info" sheetId="5" r:id="rId5"/>
    <sheet name="GroundStations_Info" sheetId="6" r:id="rId6"/>
    <sheet name="SAA_Info" sheetId="7" r:id="rId7"/>
    <sheet name="Constraints_Info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F6" i="2" s="1"/>
  <c r="E5" i="2"/>
  <c r="F5" i="2" s="1"/>
  <c r="E4" i="2"/>
  <c r="F4" i="2" s="1"/>
  <c r="E3" i="2"/>
  <c r="F3" i="2" s="1"/>
  <c r="E2" i="2"/>
  <c r="F2" i="2" s="1"/>
  <c r="N131" i="1"/>
  <c r="M131" i="1"/>
  <c r="L131" i="1"/>
  <c r="N130" i="1"/>
  <c r="M130" i="1"/>
  <c r="L130" i="1"/>
  <c r="N129" i="1"/>
  <c r="M129" i="1"/>
  <c r="L129" i="1"/>
  <c r="N128" i="1"/>
  <c r="M128" i="1"/>
  <c r="L128" i="1"/>
  <c r="N127" i="1"/>
  <c r="M127" i="1"/>
  <c r="L127" i="1"/>
  <c r="N126" i="1"/>
  <c r="M126" i="1"/>
  <c r="L126" i="1"/>
  <c r="N125" i="1"/>
  <c r="M125" i="1"/>
  <c r="L125" i="1"/>
  <c r="N124" i="1"/>
  <c r="M124" i="1"/>
  <c r="L124" i="1"/>
  <c r="N123" i="1"/>
  <c r="M123" i="1"/>
  <c r="L123" i="1"/>
  <c r="N122" i="1"/>
  <c r="M122" i="1"/>
  <c r="L122" i="1"/>
  <c r="N121" i="1"/>
  <c r="M121" i="1"/>
  <c r="L121" i="1"/>
  <c r="N120" i="1"/>
  <c r="M120" i="1"/>
  <c r="L120" i="1"/>
  <c r="N119" i="1"/>
  <c r="M119" i="1"/>
  <c r="L119" i="1"/>
  <c r="N118" i="1"/>
  <c r="M118" i="1"/>
  <c r="L118" i="1"/>
  <c r="N117" i="1"/>
  <c r="M117" i="1"/>
  <c r="L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</calcChain>
</file>

<file path=xl/sharedStrings.xml><?xml version="1.0" encoding="utf-8"?>
<sst xmlns="http://schemas.openxmlformats.org/spreadsheetml/2006/main" count="346" uniqueCount="87">
  <si>
    <t>Polar Constraint</t>
  </si>
  <si>
    <t>Earth Angle Constraint</t>
  </si>
  <si>
    <t>Moon Angle Constraint</t>
  </si>
  <si>
    <t>Latitude</t>
  </si>
  <si>
    <t>Longitude</t>
  </si>
  <si>
    <t>Name</t>
  </si>
  <si>
    <t>Altitude [m]</t>
  </si>
  <si>
    <t>Elevation Constraint [deg]</t>
  </si>
  <si>
    <t>Boulder</t>
  </si>
  <si>
    <t>TLE URL</t>
  </si>
  <si>
    <t>TLE File</t>
  </si>
  <si>
    <t>Satellite Name</t>
  </si>
  <si>
    <t>Simulation Start Time [YYYY-MM-DD HH:MM:SS UTC]</t>
  </si>
  <si>
    <t>Simulation End Time [YYYY-MM-DD HH:MM:SS UTC]</t>
  </si>
  <si>
    <t>Timestep [sec]</t>
  </si>
  <si>
    <t>https://celestrak.org/NORAD/elements/gp.php?GROUP=active&amp;FORMAT=tle</t>
  </si>
  <si>
    <t>cute_tle</t>
  </si>
  <si>
    <t>CUTE</t>
  </si>
  <si>
    <t>Initial Data Size Stored [MB]</t>
  </si>
  <si>
    <t>Dangerous Data Size Stored [MB]</t>
  </si>
  <si>
    <t>ACCUM File Size [MB]</t>
  </si>
  <si>
    <t>TTAG File Size [MB]</t>
  </si>
  <si>
    <t>Downlink Data Rate [MB/s]</t>
  </si>
  <si>
    <t>Initial Charge [J]</t>
  </si>
  <si>
    <t>Maximum Charge [J]</t>
  </si>
  <si>
    <t>Charging [W]</t>
  </si>
  <si>
    <t>Pointing [W]</t>
  </si>
  <si>
    <t>Observation [W]</t>
  </si>
  <si>
    <t>Downlink [W]</t>
  </si>
  <si>
    <t>Idle [W]</t>
  </si>
  <si>
    <t>Survey</t>
  </si>
  <si>
    <t>N Targets</t>
  </si>
  <si>
    <t>Pointings Per Target</t>
  </si>
  <si>
    <t>ExpTime Per Pointing [s]</t>
  </si>
  <si>
    <t>ExpTime Per Target [s]</t>
  </si>
  <si>
    <t>Total ExpTime</t>
  </si>
  <si>
    <t>Obs Mode</t>
  </si>
  <si>
    <t>Repeat Targets</t>
  </si>
  <si>
    <t>SurveyPriority</t>
  </si>
  <si>
    <t>Minimum ExpTime [s]</t>
  </si>
  <si>
    <t>LyC Galaxies Survey</t>
  </si>
  <si>
    <t>ACCUM</t>
  </si>
  <si>
    <t>No</t>
  </si>
  <si>
    <t>Nearby Galaxies Survey</t>
  </si>
  <si>
    <t>TTAG</t>
  </si>
  <si>
    <t>SPRITE Flux Standards</t>
  </si>
  <si>
    <t>Yes</t>
  </si>
  <si>
    <t>SPRITE Wavelength Standards</t>
  </si>
  <si>
    <t>Supernova Remnants Survey</t>
  </si>
  <si>
    <t>Target</t>
  </si>
  <si>
    <t>Pointing</t>
  </si>
  <si>
    <t>HH</t>
  </si>
  <si>
    <t>MM</t>
  </si>
  <si>
    <t>SS</t>
  </si>
  <si>
    <t>dd</t>
  </si>
  <si>
    <t>mm</t>
  </si>
  <si>
    <t>ss</t>
  </si>
  <si>
    <t>Rotation Angle</t>
  </si>
  <si>
    <t>Base Priority</t>
  </si>
  <si>
    <t>Exposure Mode</t>
  </si>
  <si>
    <t>Max Exp. Time [sec]</t>
  </si>
  <si>
    <t>Min Exp. Time [sec]</t>
  </si>
  <si>
    <t>Current Exp. Time [sec]</t>
  </si>
  <si>
    <t>G191B2B</t>
  </si>
  <si>
    <t>A</t>
  </si>
  <si>
    <t>HZ 43</t>
  </si>
  <si>
    <t>GD 71</t>
  </si>
  <si>
    <t>Procyon</t>
  </si>
  <si>
    <t>eps Eri</t>
  </si>
  <si>
    <t>TW Hya</t>
  </si>
  <si>
    <t>J115855+312559</t>
  </si>
  <si>
    <t>J143256+274249</t>
  </si>
  <si>
    <t>J105331+523753</t>
  </si>
  <si>
    <t>J081409+211459</t>
  </si>
  <si>
    <t>J1442-0209</t>
  </si>
  <si>
    <t>J1503+3644</t>
  </si>
  <si>
    <t>J1154+2443</t>
  </si>
  <si>
    <t>J1256+4509</t>
  </si>
  <si>
    <t>N63A</t>
  </si>
  <si>
    <t>N132D</t>
  </si>
  <si>
    <t>N49</t>
  </si>
  <si>
    <t>N103B</t>
  </si>
  <si>
    <t>DEML71</t>
  </si>
  <si>
    <t>B0519-690</t>
  </si>
  <si>
    <t>B0540-693</t>
  </si>
  <si>
    <t>N157B</t>
  </si>
  <si>
    <t>1E 0102-2-7219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</si>
</sst>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"/>
    <numFmt numFmtId="165" formatCode="00"/>
    <numFmt numFmtId="166" formatCode="#,##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Aptos Narrow"/>
      <family val="2"/>
    </font>
    <font>
      <sz val="14"/>
      <color rgb="FF000000"/>
      <name val="Aptos Narrow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8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3" fillId="2" borderId="2" xfId="0" applyFont="1" applyFill="1" applyBorder="1" applyAlignment="1">
      <alignment horizontal="left"/>
    </xf>
    <xf numFmtId="4" fontId="3" fillId="2" borderId="2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4" fontId="4" fillId="0" borderId="2" xfId="0" applyNumberFormat="1" applyFont="1" applyBorder="1" applyAlignment="1">
      <alignment horizontal="left"/>
    </xf>
    <xf numFmtId="3" fontId="4" fillId="0" borderId="2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22" fontId="3" fillId="2" borderId="2" xfId="0" applyNumberFormat="1" applyFont="1" applyFill="1" applyBorder="1" applyAlignment="1">
      <alignment horizontal="left"/>
    </xf>
    <xf numFmtId="3" fontId="3" fillId="2" borderId="2" xfId="0" applyNumberFormat="1" applyFont="1" applyFill="1" applyBorder="1" applyAlignment="1">
      <alignment horizontal="left"/>
    </xf>
    <xf numFmtId="22" fontId="4" fillId="0" borderId="2" xfId="0" applyNumberFormat="1" applyFont="1" applyBorder="1" applyAlignment="1">
      <alignment horizontal="left"/>
    </xf>
    <xf numFmtId="22" fontId="0" fillId="0" borderId="0" xfId="0" applyNumberFormat="1" applyAlignment="1">
      <alignment horizontal="left"/>
    </xf>
    <xf numFmtId="3" fontId="4" fillId="0" borderId="2" xfId="0" applyNumberFormat="1" applyFont="1" applyBorder="1" applyAlignment="1">
      <alignment horizontal="right"/>
    </xf>
    <xf numFmtId="4" fontId="4" fillId="0" borderId="2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3" fontId="3" fillId="2" borderId="2" xfId="0" applyNumberFormat="1" applyFont="1" applyFill="1" applyBorder="1" applyAlignment="1">
      <alignment horizontal="center"/>
    </xf>
    <xf numFmtId="4" fontId="3" fillId="2" borderId="2" xfId="0" applyNumberFormat="1" applyFont="1" applyFill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3" fontId="5" fillId="0" borderId="2" xfId="0" applyNumberFormat="1" applyFont="1" applyBorder="1" applyAlignment="1">
      <alignment horizontal="center"/>
    </xf>
    <xf numFmtId="4" fontId="5" fillId="0" borderId="2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14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bestFit="1" customWidth="1"/>
    <col min="2" max="2" width="10.33203125" style="36" bestFit="1" customWidth="1"/>
    <col min="3" max="3" width="11" style="36" bestFit="1" customWidth="1"/>
    <col min="4" max="4" width="9.33203125" style="36" bestFit="1" customWidth="1"/>
    <col min="5" max="6" width="10.5" style="36" bestFit="1" customWidth="1"/>
    <col min="7" max="7" width="10.83203125" style="36" bestFit="1" customWidth="1"/>
    <col min="8" max="8" width="10.5" style="37" bestFit="1" customWidth="1"/>
    <col min="9" max="9" width="15.5" style="37" bestFit="1" customWidth="1"/>
    <col min="10" max="10" width="39.1640625" bestFit="1" customWidth="1"/>
    <col min="11" max="11" width="13.6640625" style="36" bestFit="1" customWidth="1"/>
    <col min="12" max="12" width="16.83203125" style="18" bestFit="1" customWidth="1"/>
    <col min="13" max="13" width="21.33203125" bestFit="1" customWidth="1"/>
    <col min="14" max="14" width="21" bestFit="1" customWidth="1"/>
    <col min="15" max="15" width="24.1640625" style="36" bestFit="1" customWidth="1"/>
  </cols>
  <sheetData>
    <row r="1" spans="1:15" ht="17.25" customHeight="1" x14ac:dyDescent="0.25">
      <c r="A1" s="10" t="s">
        <v>49</v>
      </c>
      <c r="B1" s="28" t="s">
        <v>50</v>
      </c>
      <c r="C1" s="28" t="s">
        <v>51</v>
      </c>
      <c r="D1" s="28" t="s">
        <v>52</v>
      </c>
      <c r="E1" s="28" t="s">
        <v>53</v>
      </c>
      <c r="F1" s="28" t="s">
        <v>54</v>
      </c>
      <c r="G1" s="28" t="s">
        <v>55</v>
      </c>
      <c r="H1" s="29" t="s">
        <v>56</v>
      </c>
      <c r="I1" s="29" t="s">
        <v>57</v>
      </c>
      <c r="J1" s="10" t="s">
        <v>30</v>
      </c>
      <c r="K1" s="22" t="s">
        <v>58</v>
      </c>
      <c r="L1" s="10" t="s">
        <v>59</v>
      </c>
      <c r="M1" s="10" t="s">
        <v>60</v>
      </c>
      <c r="N1" s="10" t="s">
        <v>61</v>
      </c>
      <c r="O1" s="22" t="s">
        <v>62</v>
      </c>
    </row>
    <row r="2" spans="1:15" ht="23.25" customHeight="1" x14ac:dyDescent="0.25">
      <c r="A2" s="14" t="s">
        <v>63</v>
      </c>
      <c r="B2" s="30" t="s">
        <v>64</v>
      </c>
      <c r="C2" s="31">
        <v>5</v>
      </c>
      <c r="D2" s="31">
        <v>5</v>
      </c>
      <c r="E2" s="32">
        <v>30.617000000000001</v>
      </c>
      <c r="F2" s="31">
        <v>52</v>
      </c>
      <c r="G2" s="31">
        <v>49</v>
      </c>
      <c r="H2" s="32">
        <v>51.918999999999997</v>
      </c>
      <c r="I2" s="30">
        <v>0</v>
      </c>
      <c r="J2" s="14" t="s">
        <v>45</v>
      </c>
      <c r="K2" s="16">
        <v>2</v>
      </c>
      <c r="L2" s="14" t="str">
        <f>LOOKUP(J2,Survey_Info!A:A,Survey_Info!G:G)</f>
        <v>ACCUM</v>
      </c>
      <c r="M2" s="25">
        <f>LOOKUP(J2,Survey_Info!A:A,Survey_Info!D:D)</f>
        <v>1200</v>
      </c>
      <c r="N2" s="25">
        <f>LOOKUP(J2,Survey_Info!A:A, Survey_Info!J:J)</f>
        <v>60</v>
      </c>
      <c r="O2" s="25">
        <v>0</v>
      </c>
    </row>
    <row r="3" spans="1:15" ht="23.25" customHeight="1" x14ac:dyDescent="0.25">
      <c r="A3" s="14" t="s">
        <v>65</v>
      </c>
      <c r="B3" s="30" t="s">
        <v>64</v>
      </c>
      <c r="C3" s="31">
        <v>13</v>
      </c>
      <c r="D3" s="31">
        <v>16</v>
      </c>
      <c r="E3" s="32">
        <v>21.85324</v>
      </c>
      <c r="F3" s="31">
        <v>29</v>
      </c>
      <c r="G3" s="31">
        <v>5</v>
      </c>
      <c r="H3" s="32">
        <v>55.411099999999998</v>
      </c>
      <c r="I3" s="30">
        <v>0</v>
      </c>
      <c r="J3" s="14" t="s">
        <v>45</v>
      </c>
      <c r="K3" s="16">
        <v>2</v>
      </c>
      <c r="L3" s="14" t="str">
        <f>LOOKUP(J3,Survey_Info!A:A,Survey_Info!G:G)</f>
        <v>ACCUM</v>
      </c>
      <c r="M3" s="25">
        <f>LOOKUP(J3,Survey_Info!A:A,Survey_Info!D:D)</f>
        <v>1200</v>
      </c>
      <c r="N3" s="25">
        <f>LOOKUP(J3,Survey_Info!A:A, Survey_Info!J:J)</f>
        <v>60</v>
      </c>
      <c r="O3" s="25">
        <v>0</v>
      </c>
    </row>
    <row r="4" spans="1:15" ht="23.25" customHeight="1" x14ac:dyDescent="0.25">
      <c r="A4" s="14" t="s">
        <v>66</v>
      </c>
      <c r="B4" s="30" t="s">
        <v>64</v>
      </c>
      <c r="C4" s="31">
        <v>5</v>
      </c>
      <c r="D4" s="31">
        <v>52</v>
      </c>
      <c r="E4" s="32">
        <v>27.61985</v>
      </c>
      <c r="F4" s="31">
        <v>15</v>
      </c>
      <c r="G4" s="31">
        <v>53</v>
      </c>
      <c r="H4" s="32">
        <v>13.22888</v>
      </c>
      <c r="I4" s="30">
        <v>0</v>
      </c>
      <c r="J4" s="14" t="s">
        <v>45</v>
      </c>
      <c r="K4" s="16">
        <v>2</v>
      </c>
      <c r="L4" s="14" t="str">
        <f>LOOKUP(J4,Survey_Info!A:A,Survey_Info!G:G)</f>
        <v>ACCUM</v>
      </c>
      <c r="M4" s="25">
        <f>LOOKUP(J4,Survey_Info!A:A,Survey_Info!D:D)</f>
        <v>1200</v>
      </c>
      <c r="N4" s="25">
        <f>LOOKUP(J4,Survey_Info!A:A, Survey_Info!J:J)</f>
        <v>60</v>
      </c>
      <c r="O4" s="25">
        <v>0</v>
      </c>
    </row>
    <row r="5" spans="1:15" ht="23.25" customHeight="1" x14ac:dyDescent="0.25">
      <c r="A5" s="14" t="s">
        <v>67</v>
      </c>
      <c r="B5" s="30" t="s">
        <v>64</v>
      </c>
      <c r="C5" s="31">
        <v>7</v>
      </c>
      <c r="D5" s="31">
        <v>39</v>
      </c>
      <c r="E5" s="32">
        <v>18.119499999999999</v>
      </c>
      <c r="F5" s="31">
        <v>5</v>
      </c>
      <c r="G5" s="31">
        <v>13</v>
      </c>
      <c r="H5" s="32">
        <v>29.95</v>
      </c>
      <c r="I5" s="30">
        <v>0</v>
      </c>
      <c r="J5" s="14" t="s">
        <v>47</v>
      </c>
      <c r="K5" s="16">
        <v>2</v>
      </c>
      <c r="L5" s="14" t="str">
        <f>LOOKUP(J5,Survey_Info!A:A,Survey_Info!G:G)</f>
        <v>ACCUM</v>
      </c>
      <c r="M5" s="25">
        <f>LOOKUP(J5,Survey_Info!A:A,Survey_Info!D:D)</f>
        <v>1200</v>
      </c>
      <c r="N5" s="25">
        <f>LOOKUP(J5,Survey_Info!A:A, Survey_Info!J:J)</f>
        <v>60</v>
      </c>
      <c r="O5" s="25">
        <v>0</v>
      </c>
    </row>
    <row r="6" spans="1:15" ht="23.25" customHeight="1" x14ac:dyDescent="0.25">
      <c r="A6" s="14" t="s">
        <v>68</v>
      </c>
      <c r="B6" s="30" t="s">
        <v>64</v>
      </c>
      <c r="C6" s="31">
        <v>3</v>
      </c>
      <c r="D6" s="31">
        <v>32</v>
      </c>
      <c r="E6" s="32">
        <v>55.84449</v>
      </c>
      <c r="F6" s="31">
        <v>9</v>
      </c>
      <c r="G6" s="31">
        <v>27</v>
      </c>
      <c r="H6" s="32">
        <v>29.739000000000001</v>
      </c>
      <c r="I6" s="30">
        <v>0</v>
      </c>
      <c r="J6" s="14" t="s">
        <v>47</v>
      </c>
      <c r="K6" s="16">
        <v>2</v>
      </c>
      <c r="L6" s="14" t="str">
        <f>LOOKUP(J6,Survey_Info!A:A,Survey_Info!G:G)</f>
        <v>ACCUM</v>
      </c>
      <c r="M6" s="25">
        <f>LOOKUP(J6,Survey_Info!A:A,Survey_Info!D:D)</f>
        <v>1200</v>
      </c>
      <c r="N6" s="25">
        <f>LOOKUP(J6,Survey_Info!A:A, Survey_Info!J:J)</f>
        <v>60</v>
      </c>
      <c r="O6" s="25">
        <v>0</v>
      </c>
    </row>
    <row r="7" spans="1:15" ht="23.25" customHeight="1" x14ac:dyDescent="0.25">
      <c r="A7" s="14" t="s">
        <v>69</v>
      </c>
      <c r="B7" s="30" t="s">
        <v>64</v>
      </c>
      <c r="C7" s="31">
        <v>11</v>
      </c>
      <c r="D7" s="31">
        <v>1</v>
      </c>
      <c r="E7" s="32">
        <v>51.905000000000001</v>
      </c>
      <c r="F7" s="31">
        <v>-34</v>
      </c>
      <c r="G7" s="31">
        <v>42</v>
      </c>
      <c r="H7" s="32">
        <v>17.033000000000001</v>
      </c>
      <c r="I7" s="30">
        <v>0</v>
      </c>
      <c r="J7" s="14" t="s">
        <v>47</v>
      </c>
      <c r="K7" s="16">
        <v>2</v>
      </c>
      <c r="L7" s="14" t="str">
        <f>LOOKUP(J7,Survey_Info!A:A,Survey_Info!G:G)</f>
        <v>ACCUM</v>
      </c>
      <c r="M7" s="25">
        <f>LOOKUP(J7,Survey_Info!A:A,Survey_Info!D:D)</f>
        <v>1200</v>
      </c>
      <c r="N7" s="25">
        <f>LOOKUP(J7,Survey_Info!A:A, Survey_Info!J:J)</f>
        <v>60</v>
      </c>
      <c r="O7" s="25">
        <v>0</v>
      </c>
    </row>
    <row r="8" spans="1:15" ht="23.25" customHeight="1" x14ac:dyDescent="0.25">
      <c r="A8" s="14" t="s">
        <v>70</v>
      </c>
      <c r="B8" s="30" t="s">
        <v>64</v>
      </c>
      <c r="C8" s="31">
        <v>11</v>
      </c>
      <c r="D8" s="31">
        <v>58</v>
      </c>
      <c r="E8" s="32">
        <v>54.799199999999999</v>
      </c>
      <c r="F8" s="31">
        <v>31</v>
      </c>
      <c r="G8" s="31">
        <v>25</v>
      </c>
      <c r="H8" s="32">
        <v>59.088000000000001</v>
      </c>
      <c r="I8" s="30">
        <v>0</v>
      </c>
      <c r="J8" s="14" t="s">
        <v>40</v>
      </c>
      <c r="K8" s="16">
        <v>1</v>
      </c>
      <c r="L8" s="14" t="str">
        <f>LOOKUP(J8,Survey_Info!A:A,Survey_Info!G:G)</f>
        <v>ACCUM</v>
      </c>
      <c r="M8" s="25">
        <f>LOOKUP(J8,Survey_Info!A:A,Survey_Info!D:D)</f>
        <v>100000</v>
      </c>
      <c r="N8" s="25">
        <f>LOOKUP(J8,Survey_Info!A:A, Survey_Info!J:J)</f>
        <v>300</v>
      </c>
      <c r="O8" s="25">
        <v>0</v>
      </c>
    </row>
    <row r="9" spans="1:15" ht="23.25" customHeight="1" x14ac:dyDescent="0.25">
      <c r="A9" s="14" t="s">
        <v>71</v>
      </c>
      <c r="B9" s="30" t="s">
        <v>64</v>
      </c>
      <c r="C9" s="31">
        <v>14</v>
      </c>
      <c r="D9" s="31">
        <v>32</v>
      </c>
      <c r="E9" s="32">
        <v>56.4</v>
      </c>
      <c r="F9" s="31">
        <v>27</v>
      </c>
      <c r="G9" s="31">
        <v>42</v>
      </c>
      <c r="H9" s="32">
        <v>49.607999999999997</v>
      </c>
      <c r="I9" s="30">
        <v>0</v>
      </c>
      <c r="J9" s="14" t="s">
        <v>40</v>
      </c>
      <c r="K9" s="16">
        <v>1</v>
      </c>
      <c r="L9" s="14" t="str">
        <f>LOOKUP(J9,Survey_Info!A:A,Survey_Info!G:G)</f>
        <v>ACCUM</v>
      </c>
      <c r="M9" s="25">
        <f>LOOKUP(J9,Survey_Info!A:A,Survey_Info!D:D)</f>
        <v>100000</v>
      </c>
      <c r="N9" s="25">
        <f>LOOKUP(J9,Survey_Info!A:A, Survey_Info!J:J)</f>
        <v>300</v>
      </c>
      <c r="O9" s="25">
        <v>0</v>
      </c>
    </row>
    <row r="10" spans="1:15" ht="23.25" customHeight="1" x14ac:dyDescent="0.25">
      <c r="A10" s="14" t="s">
        <v>72</v>
      </c>
      <c r="B10" s="30" t="s">
        <v>64</v>
      </c>
      <c r="C10" s="31">
        <v>10</v>
      </c>
      <c r="D10" s="31">
        <v>53</v>
      </c>
      <c r="E10" s="32">
        <v>30.8232</v>
      </c>
      <c r="F10" s="31">
        <v>52</v>
      </c>
      <c r="G10" s="31">
        <v>37</v>
      </c>
      <c r="H10" s="32">
        <v>52.896000000000001</v>
      </c>
      <c r="I10" s="30">
        <v>0</v>
      </c>
      <c r="J10" s="14" t="s">
        <v>40</v>
      </c>
      <c r="K10" s="16">
        <v>1</v>
      </c>
      <c r="L10" s="14" t="str">
        <f>LOOKUP(J10,Survey_Info!A:A,Survey_Info!G:G)</f>
        <v>ACCUM</v>
      </c>
      <c r="M10" s="25">
        <f>LOOKUP(J10,Survey_Info!A:A,Survey_Info!D:D)</f>
        <v>100000</v>
      </c>
      <c r="N10" s="25">
        <f>LOOKUP(J10,Survey_Info!A:A, Survey_Info!J:J)</f>
        <v>300</v>
      </c>
      <c r="O10" s="25">
        <v>0</v>
      </c>
    </row>
    <row r="11" spans="1:15" ht="23.25" customHeight="1" x14ac:dyDescent="0.25">
      <c r="A11" s="14" t="s">
        <v>73</v>
      </c>
      <c r="B11" s="30" t="s">
        <v>64</v>
      </c>
      <c r="C11" s="31">
        <v>8</v>
      </c>
      <c r="D11" s="31">
        <v>14</v>
      </c>
      <c r="E11" s="32">
        <v>8.7576000000000001</v>
      </c>
      <c r="F11" s="31">
        <v>21</v>
      </c>
      <c r="G11" s="31">
        <v>14</v>
      </c>
      <c r="H11" s="32">
        <v>59.207999999999998</v>
      </c>
      <c r="I11" s="30">
        <v>0</v>
      </c>
      <c r="J11" s="14" t="s">
        <v>40</v>
      </c>
      <c r="K11" s="16">
        <v>1</v>
      </c>
      <c r="L11" s="14" t="str">
        <f>LOOKUP(J11,Survey_Info!A:A,Survey_Info!G:G)</f>
        <v>ACCUM</v>
      </c>
      <c r="M11" s="25">
        <f>LOOKUP(J11,Survey_Info!A:A,Survey_Info!D:D)</f>
        <v>100000</v>
      </c>
      <c r="N11" s="25">
        <f>LOOKUP(J11,Survey_Info!A:A, Survey_Info!J:J)</f>
        <v>300</v>
      </c>
      <c r="O11" s="25">
        <v>0</v>
      </c>
    </row>
    <row r="12" spans="1:15" ht="23.25" customHeight="1" x14ac:dyDescent="0.25">
      <c r="A12" s="14" t="s">
        <v>74</v>
      </c>
      <c r="B12" s="30" t="s">
        <v>64</v>
      </c>
      <c r="C12" s="31">
        <v>14</v>
      </c>
      <c r="D12" s="31">
        <v>42</v>
      </c>
      <c r="E12" s="32">
        <v>31.389600000000002</v>
      </c>
      <c r="F12" s="31">
        <v>-2</v>
      </c>
      <c r="G12" s="31">
        <v>9</v>
      </c>
      <c r="H12" s="32">
        <v>52.02</v>
      </c>
      <c r="I12" s="30">
        <v>0</v>
      </c>
      <c r="J12" s="14" t="s">
        <v>40</v>
      </c>
      <c r="K12" s="16">
        <v>1</v>
      </c>
      <c r="L12" s="14" t="str">
        <f>LOOKUP(J12,Survey_Info!A:A,Survey_Info!G:G)</f>
        <v>ACCUM</v>
      </c>
      <c r="M12" s="25">
        <f>LOOKUP(J12,Survey_Info!A:A,Survey_Info!D:D)</f>
        <v>100000</v>
      </c>
      <c r="N12" s="25">
        <f>LOOKUP(J12,Survey_Info!A:A, Survey_Info!J:J)</f>
        <v>300</v>
      </c>
      <c r="O12" s="25">
        <v>0</v>
      </c>
    </row>
    <row r="13" spans="1:15" ht="23.25" customHeight="1" x14ac:dyDescent="0.25">
      <c r="A13" s="14" t="s">
        <v>75</v>
      </c>
      <c r="B13" s="30" t="s">
        <v>64</v>
      </c>
      <c r="C13" s="31">
        <v>15</v>
      </c>
      <c r="D13" s="31">
        <v>3</v>
      </c>
      <c r="E13" s="32">
        <v>42.830399999999997</v>
      </c>
      <c r="F13" s="31">
        <v>36</v>
      </c>
      <c r="G13" s="31">
        <v>44</v>
      </c>
      <c r="H13" s="32">
        <v>50.747999999999998</v>
      </c>
      <c r="I13" s="30">
        <v>0</v>
      </c>
      <c r="J13" s="14" t="s">
        <v>40</v>
      </c>
      <c r="K13" s="16">
        <v>1</v>
      </c>
      <c r="L13" s="14" t="str">
        <f>LOOKUP(J13,Survey_Info!A:A,Survey_Info!G:G)</f>
        <v>ACCUM</v>
      </c>
      <c r="M13" s="25">
        <f>LOOKUP(J13,Survey_Info!A:A,Survey_Info!D:D)</f>
        <v>100000</v>
      </c>
      <c r="N13" s="25">
        <f>LOOKUP(J13,Survey_Info!A:A, Survey_Info!J:J)</f>
        <v>300</v>
      </c>
      <c r="O13" s="25">
        <v>0</v>
      </c>
    </row>
    <row r="14" spans="1:15" ht="23.25" customHeight="1" x14ac:dyDescent="0.25">
      <c r="A14" s="14" t="s">
        <v>76</v>
      </c>
      <c r="B14" s="30" t="s">
        <v>64</v>
      </c>
      <c r="C14" s="31">
        <v>11</v>
      </c>
      <c r="D14" s="31">
        <v>54</v>
      </c>
      <c r="E14" s="32">
        <v>48.849600000000002</v>
      </c>
      <c r="F14" s="31">
        <v>24</v>
      </c>
      <c r="G14" s="31">
        <v>43</v>
      </c>
      <c r="H14" s="32">
        <v>33.024000000000001</v>
      </c>
      <c r="I14" s="30">
        <v>0</v>
      </c>
      <c r="J14" s="14" t="s">
        <v>40</v>
      </c>
      <c r="K14" s="16">
        <v>1</v>
      </c>
      <c r="L14" s="14" t="str">
        <f>LOOKUP(J14,Survey_Info!A:A,Survey_Info!G:G)</f>
        <v>ACCUM</v>
      </c>
      <c r="M14" s="25">
        <f>LOOKUP(J14,Survey_Info!A:A,Survey_Info!D:D)</f>
        <v>100000</v>
      </c>
      <c r="N14" s="25">
        <f>LOOKUP(J14,Survey_Info!A:A, Survey_Info!J:J)</f>
        <v>300</v>
      </c>
      <c r="O14" s="25">
        <v>0</v>
      </c>
    </row>
    <row r="15" spans="1:15" ht="23.25" customHeight="1" x14ac:dyDescent="0.25">
      <c r="A15" s="14" t="s">
        <v>77</v>
      </c>
      <c r="B15" s="30" t="s">
        <v>64</v>
      </c>
      <c r="C15" s="31">
        <v>12</v>
      </c>
      <c r="D15" s="31">
        <v>56</v>
      </c>
      <c r="E15" s="32">
        <v>44.150399999999998</v>
      </c>
      <c r="F15" s="31">
        <v>45</v>
      </c>
      <c r="G15" s="31">
        <v>9</v>
      </c>
      <c r="H15" s="32">
        <v>16.992000000000001</v>
      </c>
      <c r="I15" s="30">
        <v>0</v>
      </c>
      <c r="J15" s="14" t="s">
        <v>40</v>
      </c>
      <c r="K15" s="16">
        <v>1</v>
      </c>
      <c r="L15" s="14" t="str">
        <f>LOOKUP(J15,Survey_Info!A:A,Survey_Info!G:G)</f>
        <v>ACCUM</v>
      </c>
      <c r="M15" s="25">
        <f>LOOKUP(J15,Survey_Info!A:A,Survey_Info!D:D)</f>
        <v>100000</v>
      </c>
      <c r="N15" s="25">
        <f>LOOKUP(J15,Survey_Info!A:A, Survey_Info!J:J)</f>
        <v>300</v>
      </c>
      <c r="O15" s="25">
        <v>0</v>
      </c>
    </row>
    <row r="16" spans="1:15" ht="23.25" customHeight="1" x14ac:dyDescent="0.25">
      <c r="A16" s="33" t="s">
        <v>78</v>
      </c>
      <c r="B16" s="34">
        <v>1</v>
      </c>
      <c r="C16" s="34">
        <v>5</v>
      </c>
      <c r="D16" s="34">
        <v>34</v>
      </c>
      <c r="E16" s="34">
        <v>34</v>
      </c>
      <c r="F16" s="34">
        <v>-65</v>
      </c>
      <c r="G16" s="34">
        <v>58</v>
      </c>
      <c r="H16" s="34">
        <v>4</v>
      </c>
      <c r="I16" s="35">
        <v>199.8</v>
      </c>
      <c r="J16" s="33" t="s">
        <v>48</v>
      </c>
      <c r="K16" s="16">
        <v>1</v>
      </c>
      <c r="L16" s="14" t="str">
        <f>LOOKUP(J16,Survey_Info!A:A,Survey_Info!G:G)</f>
        <v>TTAG</v>
      </c>
      <c r="M16" s="25">
        <f>LOOKUP(J16,Survey_Info!A:A,Survey_Info!D:D)</f>
        <v>3000</v>
      </c>
      <c r="N16" s="25">
        <f>LOOKUP(J16,Survey_Info!A:A, Survey_Info!J:J)</f>
        <v>300</v>
      </c>
      <c r="O16" s="25">
        <v>0</v>
      </c>
    </row>
    <row r="17" spans="1:15" ht="23.25" customHeight="1" x14ac:dyDescent="0.25">
      <c r="A17" s="33" t="s">
        <v>78</v>
      </c>
      <c r="B17" s="34">
        <v>2</v>
      </c>
      <c r="C17" s="34">
        <v>5</v>
      </c>
      <c r="D17" s="34">
        <v>34</v>
      </c>
      <c r="E17" s="35">
        <v>33.4</v>
      </c>
      <c r="F17" s="34">
        <v>-65</v>
      </c>
      <c r="G17" s="34">
        <v>58</v>
      </c>
      <c r="H17" s="35">
        <v>13.4</v>
      </c>
      <c r="I17" s="35">
        <v>199.8</v>
      </c>
      <c r="J17" s="33" t="s">
        <v>48</v>
      </c>
      <c r="K17" s="16">
        <v>1</v>
      </c>
      <c r="L17" s="14" t="str">
        <f>LOOKUP(J17,Survey_Info!A:A,Survey_Info!G:G)</f>
        <v>TTAG</v>
      </c>
      <c r="M17" s="25">
        <f>LOOKUP(J17,Survey_Info!A:A,Survey_Info!D:D)</f>
        <v>3000</v>
      </c>
      <c r="N17" s="25">
        <f>LOOKUP(J17,Survey_Info!A:A, Survey_Info!J:J)</f>
        <v>300</v>
      </c>
      <c r="O17" s="25">
        <v>0</v>
      </c>
    </row>
    <row r="18" spans="1:15" ht="23.25" customHeight="1" x14ac:dyDescent="0.25">
      <c r="A18" s="33" t="s">
        <v>78</v>
      </c>
      <c r="B18" s="34">
        <v>3</v>
      </c>
      <c r="C18" s="34">
        <v>5</v>
      </c>
      <c r="D18" s="34">
        <v>34</v>
      </c>
      <c r="E18" s="35">
        <v>32.799999999999997</v>
      </c>
      <c r="F18" s="34">
        <v>-65</v>
      </c>
      <c r="G18" s="34">
        <v>58</v>
      </c>
      <c r="H18" s="35">
        <v>22.8</v>
      </c>
      <c r="I18" s="35">
        <v>199.8</v>
      </c>
      <c r="J18" s="33" t="s">
        <v>48</v>
      </c>
      <c r="K18" s="16">
        <v>1</v>
      </c>
      <c r="L18" s="14" t="str">
        <f>LOOKUP(J18,Survey_Info!A:A,Survey_Info!G:G)</f>
        <v>TTAG</v>
      </c>
      <c r="M18" s="25">
        <f>LOOKUP(J18,Survey_Info!A:A,Survey_Info!D:D)</f>
        <v>3000</v>
      </c>
      <c r="N18" s="25">
        <f>LOOKUP(J18,Survey_Info!A:A, Survey_Info!J:J)</f>
        <v>300</v>
      </c>
      <c r="O18" s="25">
        <v>0</v>
      </c>
    </row>
    <row r="19" spans="1:15" ht="17.25" customHeight="1" x14ac:dyDescent="0.25">
      <c r="A19" s="33" t="s">
        <v>78</v>
      </c>
      <c r="B19" s="34">
        <v>4</v>
      </c>
      <c r="C19" s="34">
        <v>5</v>
      </c>
      <c r="D19" s="34">
        <v>34</v>
      </c>
      <c r="E19" s="35">
        <v>32.299999999999997</v>
      </c>
      <c r="F19" s="34">
        <v>-65</v>
      </c>
      <c r="G19" s="34">
        <v>58</v>
      </c>
      <c r="H19" s="35">
        <v>32.200000000000003</v>
      </c>
      <c r="I19" s="35">
        <v>199.8</v>
      </c>
      <c r="J19" s="33" t="s">
        <v>48</v>
      </c>
      <c r="K19" s="16">
        <v>1</v>
      </c>
      <c r="L19" s="14" t="str">
        <f>LOOKUP(J19,Survey_Info!A:A,Survey_Info!G:G)</f>
        <v>TTAG</v>
      </c>
      <c r="M19" s="25">
        <f>LOOKUP(J19,Survey_Info!A:A,Survey_Info!D:D)</f>
        <v>3000</v>
      </c>
      <c r="N19" s="25">
        <f>LOOKUP(J19,Survey_Info!A:A, Survey_Info!J:J)</f>
        <v>300</v>
      </c>
      <c r="O19" s="25">
        <v>0</v>
      </c>
    </row>
    <row r="20" spans="1:15" ht="17.25" customHeight="1" x14ac:dyDescent="0.25">
      <c r="A20" s="33" t="s">
        <v>78</v>
      </c>
      <c r="B20" s="34">
        <v>5</v>
      </c>
      <c r="C20" s="34">
        <v>5</v>
      </c>
      <c r="D20" s="34">
        <v>34</v>
      </c>
      <c r="E20" s="35">
        <v>31.7</v>
      </c>
      <c r="F20" s="34">
        <v>-65</v>
      </c>
      <c r="G20" s="34">
        <v>58</v>
      </c>
      <c r="H20" s="35">
        <v>41.6</v>
      </c>
      <c r="I20" s="35">
        <v>199.8</v>
      </c>
      <c r="J20" s="33" t="s">
        <v>48</v>
      </c>
      <c r="K20" s="16">
        <v>1</v>
      </c>
      <c r="L20" s="14" t="str">
        <f>LOOKUP(J20,Survey_Info!A:A,Survey_Info!G:G)</f>
        <v>TTAG</v>
      </c>
      <c r="M20" s="25">
        <f>LOOKUP(J20,Survey_Info!A:A,Survey_Info!D:D)</f>
        <v>3000</v>
      </c>
      <c r="N20" s="25">
        <f>LOOKUP(J20,Survey_Info!A:A, Survey_Info!J:J)</f>
        <v>300</v>
      </c>
      <c r="O20" s="25">
        <v>0</v>
      </c>
    </row>
    <row r="21" spans="1:15" ht="17.25" customHeight="1" x14ac:dyDescent="0.25">
      <c r="A21" s="33" t="s">
        <v>78</v>
      </c>
      <c r="B21" s="34">
        <v>6</v>
      </c>
      <c r="C21" s="34">
        <v>5</v>
      </c>
      <c r="D21" s="34">
        <v>34</v>
      </c>
      <c r="E21" s="35">
        <v>31.2</v>
      </c>
      <c r="F21" s="34">
        <v>-65</v>
      </c>
      <c r="G21" s="34">
        <v>58</v>
      </c>
      <c r="H21" s="34">
        <v>51</v>
      </c>
      <c r="I21" s="35">
        <v>199.8</v>
      </c>
      <c r="J21" s="33" t="s">
        <v>48</v>
      </c>
      <c r="K21" s="16">
        <v>1</v>
      </c>
      <c r="L21" s="14" t="str">
        <f>LOOKUP(J21,Survey_Info!A:A,Survey_Info!G:G)</f>
        <v>TTAG</v>
      </c>
      <c r="M21" s="25">
        <f>LOOKUP(J21,Survey_Info!A:A,Survey_Info!D:D)</f>
        <v>3000</v>
      </c>
      <c r="N21" s="25">
        <f>LOOKUP(J21,Survey_Info!A:A, Survey_Info!J:J)</f>
        <v>300</v>
      </c>
      <c r="O21" s="25">
        <v>0</v>
      </c>
    </row>
    <row r="22" spans="1:15" ht="17.25" customHeight="1" x14ac:dyDescent="0.25">
      <c r="A22" s="33" t="s">
        <v>78</v>
      </c>
      <c r="B22" s="34">
        <v>7</v>
      </c>
      <c r="C22" s="34">
        <v>5</v>
      </c>
      <c r="D22" s="34">
        <v>34</v>
      </c>
      <c r="E22" s="35">
        <v>30.6</v>
      </c>
      <c r="F22" s="34">
        <v>-65</v>
      </c>
      <c r="G22" s="34">
        <v>59</v>
      </c>
      <c r="H22" s="35">
        <v>0.4</v>
      </c>
      <c r="I22" s="35">
        <v>199.8</v>
      </c>
      <c r="J22" s="33" t="s">
        <v>48</v>
      </c>
      <c r="K22" s="16">
        <v>1</v>
      </c>
      <c r="L22" s="14" t="str">
        <f>LOOKUP(J22,Survey_Info!A:A,Survey_Info!G:G)</f>
        <v>TTAG</v>
      </c>
      <c r="M22" s="25">
        <f>LOOKUP(J22,Survey_Info!A:A,Survey_Info!D:D)</f>
        <v>3000</v>
      </c>
      <c r="N22" s="25">
        <f>LOOKUP(J22,Survey_Info!A:A, Survey_Info!J:J)</f>
        <v>300</v>
      </c>
      <c r="O22" s="25">
        <v>0</v>
      </c>
    </row>
    <row r="23" spans="1:15" ht="17.25" customHeight="1" x14ac:dyDescent="0.25">
      <c r="A23" s="33" t="s">
        <v>78</v>
      </c>
      <c r="B23" s="34">
        <v>8</v>
      </c>
      <c r="C23" s="34">
        <v>5</v>
      </c>
      <c r="D23" s="34">
        <v>34</v>
      </c>
      <c r="E23" s="35">
        <v>30.1</v>
      </c>
      <c r="F23" s="34">
        <v>-65</v>
      </c>
      <c r="G23" s="34">
        <v>59</v>
      </c>
      <c r="H23" s="35">
        <v>9.8000000000000007</v>
      </c>
      <c r="I23" s="35">
        <v>199.8</v>
      </c>
      <c r="J23" s="33" t="s">
        <v>48</v>
      </c>
      <c r="K23" s="16">
        <v>1</v>
      </c>
      <c r="L23" s="14" t="str">
        <f>LOOKUP(J23,Survey_Info!A:A,Survey_Info!G:G)</f>
        <v>TTAG</v>
      </c>
      <c r="M23" s="25">
        <f>LOOKUP(J23,Survey_Info!A:A,Survey_Info!D:D)</f>
        <v>3000</v>
      </c>
      <c r="N23" s="25">
        <f>LOOKUP(J23,Survey_Info!A:A, Survey_Info!J:J)</f>
        <v>300</v>
      </c>
      <c r="O23" s="25">
        <v>0</v>
      </c>
    </row>
    <row r="24" spans="1:15" ht="17.25" customHeight="1" x14ac:dyDescent="0.25">
      <c r="A24" s="33" t="s">
        <v>78</v>
      </c>
      <c r="B24" s="34">
        <v>9</v>
      </c>
      <c r="C24" s="34">
        <v>5</v>
      </c>
      <c r="D24" s="34">
        <v>34</v>
      </c>
      <c r="E24" s="35">
        <v>29.5</v>
      </c>
      <c r="F24" s="34">
        <v>-65</v>
      </c>
      <c r="G24" s="34">
        <v>59</v>
      </c>
      <c r="H24" s="35">
        <v>19.3</v>
      </c>
      <c r="I24" s="35">
        <v>199.8</v>
      </c>
      <c r="J24" s="33" t="s">
        <v>48</v>
      </c>
      <c r="K24" s="16">
        <v>1</v>
      </c>
      <c r="L24" s="14" t="str">
        <f>LOOKUP(J24,Survey_Info!A:A,Survey_Info!G:G)</f>
        <v>TTAG</v>
      </c>
      <c r="M24" s="25">
        <f>LOOKUP(J24,Survey_Info!A:A,Survey_Info!D:D)</f>
        <v>3000</v>
      </c>
      <c r="N24" s="25">
        <f>LOOKUP(J24,Survey_Info!A:A, Survey_Info!J:J)</f>
        <v>300</v>
      </c>
      <c r="O24" s="25">
        <v>0</v>
      </c>
    </row>
    <row r="25" spans="1:15" ht="17.25" customHeight="1" x14ac:dyDescent="0.25">
      <c r="A25" s="33" t="s">
        <v>78</v>
      </c>
      <c r="B25" s="34">
        <v>10</v>
      </c>
      <c r="C25" s="34">
        <v>5</v>
      </c>
      <c r="D25" s="34">
        <v>34</v>
      </c>
      <c r="E25" s="35">
        <v>28.9</v>
      </c>
      <c r="F25" s="34">
        <v>-65</v>
      </c>
      <c r="G25" s="34">
        <v>59</v>
      </c>
      <c r="H25" s="35">
        <v>28.7</v>
      </c>
      <c r="I25" s="35">
        <v>199.8</v>
      </c>
      <c r="J25" s="33" t="s">
        <v>48</v>
      </c>
      <c r="K25" s="16">
        <v>1</v>
      </c>
      <c r="L25" s="14" t="str">
        <f>LOOKUP(J25,Survey_Info!A:A,Survey_Info!G:G)</f>
        <v>TTAG</v>
      </c>
      <c r="M25" s="25">
        <f>LOOKUP(J25,Survey_Info!A:A,Survey_Info!D:D)</f>
        <v>3000</v>
      </c>
      <c r="N25" s="25">
        <f>LOOKUP(J25,Survey_Info!A:A, Survey_Info!J:J)</f>
        <v>300</v>
      </c>
      <c r="O25" s="25">
        <v>0</v>
      </c>
    </row>
    <row r="26" spans="1:15" ht="17.25" customHeight="1" x14ac:dyDescent="0.25">
      <c r="A26" s="33" t="s">
        <v>78</v>
      </c>
      <c r="B26" s="34">
        <v>11</v>
      </c>
      <c r="C26" s="34">
        <v>5</v>
      </c>
      <c r="D26" s="34">
        <v>34</v>
      </c>
      <c r="E26" s="35">
        <v>28.4</v>
      </c>
      <c r="F26" s="34">
        <v>-65</v>
      </c>
      <c r="G26" s="34">
        <v>59</v>
      </c>
      <c r="H26" s="35">
        <v>38.1</v>
      </c>
      <c r="I26" s="35">
        <v>199.8</v>
      </c>
      <c r="J26" s="33" t="s">
        <v>48</v>
      </c>
      <c r="K26" s="16">
        <v>1</v>
      </c>
      <c r="L26" s="14" t="str">
        <f>LOOKUP(J26,Survey_Info!A:A,Survey_Info!G:G)</f>
        <v>TTAG</v>
      </c>
      <c r="M26" s="25">
        <f>LOOKUP(J26,Survey_Info!A:A,Survey_Info!D:D)</f>
        <v>3000</v>
      </c>
      <c r="N26" s="25">
        <f>LOOKUP(J26,Survey_Info!A:A, Survey_Info!J:J)</f>
        <v>300</v>
      </c>
      <c r="O26" s="25">
        <v>0</v>
      </c>
    </row>
    <row r="27" spans="1:15" ht="17.25" customHeight="1" x14ac:dyDescent="0.25">
      <c r="A27" s="33" t="s">
        <v>78</v>
      </c>
      <c r="B27" s="34">
        <v>12</v>
      </c>
      <c r="C27" s="34">
        <v>5</v>
      </c>
      <c r="D27" s="34">
        <v>34</v>
      </c>
      <c r="E27" s="35">
        <v>27.8</v>
      </c>
      <c r="F27" s="34">
        <v>-65</v>
      </c>
      <c r="G27" s="34">
        <v>59</v>
      </c>
      <c r="H27" s="35">
        <v>47.5</v>
      </c>
      <c r="I27" s="35">
        <v>199.8</v>
      </c>
      <c r="J27" s="33" t="s">
        <v>48</v>
      </c>
      <c r="K27" s="16">
        <v>1</v>
      </c>
      <c r="L27" s="14" t="str">
        <f>LOOKUP(J27,Survey_Info!A:A,Survey_Info!G:G)</f>
        <v>TTAG</v>
      </c>
      <c r="M27" s="25">
        <f>LOOKUP(J27,Survey_Info!A:A,Survey_Info!D:D)</f>
        <v>3000</v>
      </c>
      <c r="N27" s="25">
        <f>LOOKUP(J27,Survey_Info!A:A, Survey_Info!J:J)</f>
        <v>300</v>
      </c>
      <c r="O27" s="25">
        <v>0</v>
      </c>
    </row>
    <row r="28" spans="1:15" ht="17.25" customHeight="1" x14ac:dyDescent="0.25">
      <c r="A28" s="33" t="s">
        <v>78</v>
      </c>
      <c r="B28" s="34">
        <v>13</v>
      </c>
      <c r="C28" s="34">
        <v>5</v>
      </c>
      <c r="D28" s="34">
        <v>34</v>
      </c>
      <c r="E28" s="35">
        <v>27.3</v>
      </c>
      <c r="F28" s="34">
        <v>-65</v>
      </c>
      <c r="G28" s="34">
        <v>59</v>
      </c>
      <c r="H28" s="35">
        <v>56.9</v>
      </c>
      <c r="I28" s="35">
        <v>199.8</v>
      </c>
      <c r="J28" s="33" t="s">
        <v>48</v>
      </c>
      <c r="K28" s="16">
        <v>1</v>
      </c>
      <c r="L28" s="14" t="str">
        <f>LOOKUP(J28,Survey_Info!A:A,Survey_Info!G:G)</f>
        <v>TTAG</v>
      </c>
      <c r="M28" s="25">
        <f>LOOKUP(J28,Survey_Info!A:A,Survey_Info!D:D)</f>
        <v>3000</v>
      </c>
      <c r="N28" s="25">
        <f>LOOKUP(J28,Survey_Info!A:A, Survey_Info!J:J)</f>
        <v>300</v>
      </c>
      <c r="O28" s="25">
        <v>0</v>
      </c>
    </row>
    <row r="29" spans="1:15" ht="17.25" customHeight="1" x14ac:dyDescent="0.25">
      <c r="A29" s="33" t="s">
        <v>78</v>
      </c>
      <c r="B29" s="34">
        <v>14</v>
      </c>
      <c r="C29" s="34">
        <v>5</v>
      </c>
      <c r="D29" s="34">
        <v>34</v>
      </c>
      <c r="E29" s="35">
        <v>26.7</v>
      </c>
      <c r="F29" s="34">
        <v>-66</v>
      </c>
      <c r="G29" s="34">
        <v>0</v>
      </c>
      <c r="H29" s="35">
        <v>6.3</v>
      </c>
      <c r="I29" s="35">
        <v>199.8</v>
      </c>
      <c r="J29" s="33" t="s">
        <v>48</v>
      </c>
      <c r="K29" s="16">
        <v>1</v>
      </c>
      <c r="L29" s="14" t="str">
        <f>LOOKUP(J29,Survey_Info!A:A,Survey_Info!G:G)</f>
        <v>TTAG</v>
      </c>
      <c r="M29" s="25">
        <f>LOOKUP(J29,Survey_Info!A:A,Survey_Info!D:D)</f>
        <v>3000</v>
      </c>
      <c r="N29" s="25">
        <f>LOOKUP(J29,Survey_Info!A:A, Survey_Info!J:J)</f>
        <v>300</v>
      </c>
      <c r="O29" s="25">
        <v>0</v>
      </c>
    </row>
    <row r="30" spans="1:15" ht="17.25" customHeight="1" x14ac:dyDescent="0.25">
      <c r="A30" s="33" t="s">
        <v>78</v>
      </c>
      <c r="B30" s="34">
        <v>15</v>
      </c>
      <c r="C30" s="34">
        <v>5</v>
      </c>
      <c r="D30" s="34">
        <v>34</v>
      </c>
      <c r="E30" s="35">
        <v>26.2</v>
      </c>
      <c r="F30" s="34">
        <v>-66</v>
      </c>
      <c r="G30" s="34">
        <v>0</v>
      </c>
      <c r="H30" s="35">
        <v>15.7</v>
      </c>
      <c r="I30" s="35">
        <v>199.8</v>
      </c>
      <c r="J30" s="33" t="s">
        <v>48</v>
      </c>
      <c r="K30" s="16">
        <v>1</v>
      </c>
      <c r="L30" s="14" t="str">
        <f>LOOKUP(J30,Survey_Info!A:A,Survey_Info!G:G)</f>
        <v>TTAG</v>
      </c>
      <c r="M30" s="25">
        <f>LOOKUP(J30,Survey_Info!A:A,Survey_Info!D:D)</f>
        <v>3000</v>
      </c>
      <c r="N30" s="25">
        <f>LOOKUP(J30,Survey_Info!A:A, Survey_Info!J:J)</f>
        <v>300</v>
      </c>
      <c r="O30" s="25">
        <v>0</v>
      </c>
    </row>
    <row r="31" spans="1:15" ht="17.25" customHeight="1" x14ac:dyDescent="0.25">
      <c r="A31" s="33" t="s">
        <v>78</v>
      </c>
      <c r="B31" s="34">
        <v>16</v>
      </c>
      <c r="C31" s="34">
        <v>5</v>
      </c>
      <c r="D31" s="34">
        <v>34</v>
      </c>
      <c r="E31" s="35">
        <v>25.6</v>
      </c>
      <c r="F31" s="34">
        <v>-66</v>
      </c>
      <c r="G31" s="34">
        <v>0</v>
      </c>
      <c r="H31" s="35">
        <v>25.1</v>
      </c>
      <c r="I31" s="35">
        <v>199.8</v>
      </c>
      <c r="J31" s="33" t="s">
        <v>48</v>
      </c>
      <c r="K31" s="16">
        <v>1</v>
      </c>
      <c r="L31" s="14" t="str">
        <f>LOOKUP(J31,Survey_Info!A:A,Survey_Info!G:G)</f>
        <v>TTAG</v>
      </c>
      <c r="M31" s="25">
        <f>LOOKUP(J31,Survey_Info!A:A,Survey_Info!D:D)</f>
        <v>3000</v>
      </c>
      <c r="N31" s="25">
        <f>LOOKUP(J31,Survey_Info!A:A, Survey_Info!J:J)</f>
        <v>300</v>
      </c>
      <c r="O31" s="25">
        <v>0</v>
      </c>
    </row>
    <row r="32" spans="1:15" ht="17.25" customHeight="1" x14ac:dyDescent="0.25">
      <c r="A32" s="33" t="s">
        <v>78</v>
      </c>
      <c r="B32" s="34">
        <v>17</v>
      </c>
      <c r="C32" s="34">
        <v>5</v>
      </c>
      <c r="D32" s="34">
        <v>34</v>
      </c>
      <c r="E32" s="35">
        <v>25.1</v>
      </c>
      <c r="F32" s="34">
        <v>-66</v>
      </c>
      <c r="G32" s="34">
        <v>0</v>
      </c>
      <c r="H32" s="35">
        <v>34.5</v>
      </c>
      <c r="I32" s="35">
        <v>199.8</v>
      </c>
      <c r="J32" s="33" t="s">
        <v>48</v>
      </c>
      <c r="K32" s="16">
        <v>1</v>
      </c>
      <c r="L32" s="14" t="str">
        <f>LOOKUP(J32,Survey_Info!A:A,Survey_Info!G:G)</f>
        <v>TTAG</v>
      </c>
      <c r="M32" s="25">
        <f>LOOKUP(J32,Survey_Info!A:A,Survey_Info!D:D)</f>
        <v>3000</v>
      </c>
      <c r="N32" s="25">
        <f>LOOKUP(J32,Survey_Info!A:A, Survey_Info!J:J)</f>
        <v>300</v>
      </c>
      <c r="O32" s="25">
        <v>0</v>
      </c>
    </row>
    <row r="33" spans="1:15" ht="17.25" customHeight="1" x14ac:dyDescent="0.25">
      <c r="A33" s="33" t="s">
        <v>78</v>
      </c>
      <c r="B33" s="34">
        <v>18</v>
      </c>
      <c r="C33" s="34">
        <v>5</v>
      </c>
      <c r="D33" s="34">
        <v>34</v>
      </c>
      <c r="E33" s="35">
        <v>24.5</v>
      </c>
      <c r="F33" s="34">
        <v>-66</v>
      </c>
      <c r="G33" s="34">
        <v>0</v>
      </c>
      <c r="H33" s="35">
        <v>43.9</v>
      </c>
      <c r="I33" s="35">
        <v>199.8</v>
      </c>
      <c r="J33" s="33" t="s">
        <v>48</v>
      </c>
      <c r="K33" s="16">
        <v>1</v>
      </c>
      <c r="L33" s="14" t="str">
        <f>LOOKUP(J33,Survey_Info!A:A,Survey_Info!G:G)</f>
        <v>TTAG</v>
      </c>
      <c r="M33" s="25">
        <f>LOOKUP(J33,Survey_Info!A:A,Survey_Info!D:D)</f>
        <v>3000</v>
      </c>
      <c r="N33" s="25">
        <f>LOOKUP(J33,Survey_Info!A:A, Survey_Info!J:J)</f>
        <v>300</v>
      </c>
      <c r="O33" s="25">
        <v>0</v>
      </c>
    </row>
    <row r="34" spans="1:15" ht="17.25" customHeight="1" x14ac:dyDescent="0.25">
      <c r="A34" s="33" t="s">
        <v>78</v>
      </c>
      <c r="B34" s="34">
        <v>19</v>
      </c>
      <c r="C34" s="34">
        <v>5</v>
      </c>
      <c r="D34" s="34">
        <v>34</v>
      </c>
      <c r="E34" s="35">
        <v>23.9</v>
      </c>
      <c r="F34" s="34">
        <v>-66</v>
      </c>
      <c r="G34" s="34">
        <v>0</v>
      </c>
      <c r="H34" s="35">
        <v>53.3</v>
      </c>
      <c r="I34" s="35">
        <v>199.8</v>
      </c>
      <c r="J34" s="33" t="s">
        <v>48</v>
      </c>
      <c r="K34" s="16">
        <v>1</v>
      </c>
      <c r="L34" s="14" t="str">
        <f>LOOKUP(J34,Survey_Info!A:A,Survey_Info!G:G)</f>
        <v>TTAG</v>
      </c>
      <c r="M34" s="25">
        <f>LOOKUP(J34,Survey_Info!A:A,Survey_Info!D:D)</f>
        <v>3000</v>
      </c>
      <c r="N34" s="25">
        <f>LOOKUP(J34,Survey_Info!A:A, Survey_Info!J:J)</f>
        <v>300</v>
      </c>
      <c r="O34" s="25">
        <v>0</v>
      </c>
    </row>
    <row r="35" spans="1:15" ht="17.25" customHeight="1" x14ac:dyDescent="0.25">
      <c r="A35" s="33" t="s">
        <v>79</v>
      </c>
      <c r="B35" s="34">
        <v>1</v>
      </c>
      <c r="C35" s="34">
        <v>5</v>
      </c>
      <c r="D35" s="34">
        <v>24</v>
      </c>
      <c r="E35" s="34">
        <v>35</v>
      </c>
      <c r="F35" s="34">
        <v>-69</v>
      </c>
      <c r="G35" s="34">
        <v>47</v>
      </c>
      <c r="H35" s="34">
        <v>29</v>
      </c>
      <c r="I35" s="35">
        <v>296.89999999999998</v>
      </c>
      <c r="J35" s="33" t="s">
        <v>48</v>
      </c>
      <c r="K35" s="16">
        <v>1</v>
      </c>
      <c r="L35" s="14" t="str">
        <f>LOOKUP(J35,Survey_Info!A:A,Survey_Info!G:G)</f>
        <v>TTAG</v>
      </c>
      <c r="M35" s="25">
        <f>LOOKUP(J35,Survey_Info!A:A,Survey_Info!D:D)</f>
        <v>3000</v>
      </c>
      <c r="N35" s="25">
        <f>LOOKUP(J35,Survey_Info!A:A, Survey_Info!J:J)</f>
        <v>300</v>
      </c>
      <c r="O35" s="25">
        <v>0</v>
      </c>
    </row>
    <row r="36" spans="1:15" ht="17.25" customHeight="1" x14ac:dyDescent="0.25">
      <c r="A36" s="33" t="s">
        <v>79</v>
      </c>
      <c r="B36" s="34">
        <v>2</v>
      </c>
      <c r="C36" s="34">
        <v>5</v>
      </c>
      <c r="D36" s="34">
        <v>24</v>
      </c>
      <c r="E36" s="35">
        <v>33.200000000000003</v>
      </c>
      <c r="F36" s="34">
        <v>-69</v>
      </c>
      <c r="G36" s="34">
        <v>47</v>
      </c>
      <c r="H36" s="35">
        <v>24.5</v>
      </c>
      <c r="I36" s="35">
        <v>296.89999999999998</v>
      </c>
      <c r="J36" s="33" t="s">
        <v>48</v>
      </c>
      <c r="K36" s="16">
        <v>1</v>
      </c>
      <c r="L36" s="14" t="str">
        <f>LOOKUP(J36,Survey_Info!A:A,Survey_Info!G:G)</f>
        <v>TTAG</v>
      </c>
      <c r="M36" s="25">
        <f>LOOKUP(J36,Survey_Info!A:A,Survey_Info!D:D)</f>
        <v>3000</v>
      </c>
      <c r="N36" s="25">
        <f>LOOKUP(J36,Survey_Info!A:A, Survey_Info!J:J)</f>
        <v>300</v>
      </c>
      <c r="O36" s="25">
        <v>0</v>
      </c>
    </row>
    <row r="37" spans="1:15" ht="17.25" customHeight="1" x14ac:dyDescent="0.25">
      <c r="A37" s="33" t="s">
        <v>79</v>
      </c>
      <c r="B37" s="34">
        <v>3</v>
      </c>
      <c r="C37" s="34">
        <v>5</v>
      </c>
      <c r="D37" s="34">
        <v>24</v>
      </c>
      <c r="E37" s="35">
        <v>31.5</v>
      </c>
      <c r="F37" s="34">
        <v>-69</v>
      </c>
      <c r="G37" s="34">
        <v>47</v>
      </c>
      <c r="H37" s="34">
        <v>20</v>
      </c>
      <c r="I37" s="35">
        <v>296.89999999999998</v>
      </c>
      <c r="J37" s="33" t="s">
        <v>48</v>
      </c>
      <c r="K37" s="16">
        <v>1</v>
      </c>
      <c r="L37" s="14" t="str">
        <f>LOOKUP(J37,Survey_Info!A:A,Survey_Info!G:G)</f>
        <v>TTAG</v>
      </c>
      <c r="M37" s="25">
        <f>LOOKUP(J37,Survey_Info!A:A,Survey_Info!D:D)</f>
        <v>3000</v>
      </c>
      <c r="N37" s="25">
        <f>LOOKUP(J37,Survey_Info!A:A, Survey_Info!J:J)</f>
        <v>300</v>
      </c>
      <c r="O37" s="25">
        <v>0</v>
      </c>
    </row>
    <row r="38" spans="1:15" ht="17.25" customHeight="1" x14ac:dyDescent="0.25">
      <c r="A38" s="33" t="s">
        <v>79</v>
      </c>
      <c r="B38" s="34">
        <v>4</v>
      </c>
      <c r="C38" s="34">
        <v>5</v>
      </c>
      <c r="D38" s="34">
        <v>24</v>
      </c>
      <c r="E38" s="35">
        <v>29.8</v>
      </c>
      <c r="F38" s="34">
        <v>-69</v>
      </c>
      <c r="G38" s="34">
        <v>47</v>
      </c>
      <c r="H38" s="35">
        <v>15.4</v>
      </c>
      <c r="I38" s="35">
        <v>296.89999999999998</v>
      </c>
      <c r="J38" s="33" t="s">
        <v>48</v>
      </c>
      <c r="K38" s="16">
        <v>1</v>
      </c>
      <c r="L38" s="14" t="str">
        <f>LOOKUP(J38,Survey_Info!A:A,Survey_Info!G:G)</f>
        <v>TTAG</v>
      </c>
      <c r="M38" s="25">
        <f>LOOKUP(J38,Survey_Info!A:A,Survey_Info!D:D)</f>
        <v>3000</v>
      </c>
      <c r="N38" s="25">
        <f>LOOKUP(J38,Survey_Info!A:A, Survey_Info!J:J)</f>
        <v>300</v>
      </c>
      <c r="O38" s="25">
        <v>0</v>
      </c>
    </row>
    <row r="39" spans="1:15" ht="17.25" customHeight="1" x14ac:dyDescent="0.25">
      <c r="A39" s="33" t="s">
        <v>79</v>
      </c>
      <c r="B39" s="34">
        <v>5</v>
      </c>
      <c r="C39" s="34">
        <v>5</v>
      </c>
      <c r="D39" s="34">
        <v>24</v>
      </c>
      <c r="E39" s="35">
        <v>28.1</v>
      </c>
      <c r="F39" s="34">
        <v>-69</v>
      </c>
      <c r="G39" s="34">
        <v>47</v>
      </c>
      <c r="H39" s="35">
        <v>10.9</v>
      </c>
      <c r="I39" s="35">
        <v>296.89999999999998</v>
      </c>
      <c r="J39" s="33" t="s">
        <v>48</v>
      </c>
      <c r="K39" s="16">
        <v>1</v>
      </c>
      <c r="L39" s="14" t="str">
        <f>LOOKUP(J39,Survey_Info!A:A,Survey_Info!G:G)</f>
        <v>TTAG</v>
      </c>
      <c r="M39" s="25">
        <f>LOOKUP(J39,Survey_Info!A:A,Survey_Info!D:D)</f>
        <v>3000</v>
      </c>
      <c r="N39" s="25">
        <f>LOOKUP(J39,Survey_Info!A:A, Survey_Info!J:J)</f>
        <v>300</v>
      </c>
      <c r="O39" s="25">
        <v>0</v>
      </c>
    </row>
    <row r="40" spans="1:15" ht="17.25" customHeight="1" x14ac:dyDescent="0.25">
      <c r="A40" s="33" t="s">
        <v>79</v>
      </c>
      <c r="B40" s="34">
        <v>6</v>
      </c>
      <c r="C40" s="34">
        <v>5</v>
      </c>
      <c r="D40" s="34">
        <v>24</v>
      </c>
      <c r="E40" s="35">
        <v>26.3</v>
      </c>
      <c r="F40" s="34">
        <v>-69</v>
      </c>
      <c r="G40" s="34">
        <v>47</v>
      </c>
      <c r="H40" s="35">
        <v>6.4</v>
      </c>
      <c r="I40" s="35">
        <v>296.89999999999998</v>
      </c>
      <c r="J40" s="33" t="s">
        <v>48</v>
      </c>
      <c r="K40" s="16">
        <v>1</v>
      </c>
      <c r="L40" s="14" t="str">
        <f>LOOKUP(J40,Survey_Info!A:A,Survey_Info!G:G)</f>
        <v>TTAG</v>
      </c>
      <c r="M40" s="25">
        <f>LOOKUP(J40,Survey_Info!A:A,Survey_Info!D:D)</f>
        <v>3000</v>
      </c>
      <c r="N40" s="25">
        <f>LOOKUP(J40,Survey_Info!A:A, Survey_Info!J:J)</f>
        <v>300</v>
      </c>
      <c r="O40" s="25">
        <v>0</v>
      </c>
    </row>
    <row r="41" spans="1:15" ht="17.25" customHeight="1" x14ac:dyDescent="0.25">
      <c r="A41" s="33" t="s">
        <v>79</v>
      </c>
      <c r="B41" s="34">
        <v>7</v>
      </c>
      <c r="C41" s="34">
        <v>5</v>
      </c>
      <c r="D41" s="34">
        <v>24</v>
      </c>
      <c r="E41" s="35">
        <v>24.6</v>
      </c>
      <c r="F41" s="34">
        <v>-69</v>
      </c>
      <c r="G41" s="34">
        <v>47</v>
      </c>
      <c r="H41" s="35">
        <v>1.9</v>
      </c>
      <c r="I41" s="35">
        <v>296.89999999999998</v>
      </c>
      <c r="J41" s="33" t="s">
        <v>48</v>
      </c>
      <c r="K41" s="16">
        <v>1</v>
      </c>
      <c r="L41" s="14" t="str">
        <f>LOOKUP(J41,Survey_Info!A:A,Survey_Info!G:G)</f>
        <v>TTAG</v>
      </c>
      <c r="M41" s="25">
        <f>LOOKUP(J41,Survey_Info!A:A,Survey_Info!D:D)</f>
        <v>3000</v>
      </c>
      <c r="N41" s="25">
        <f>LOOKUP(J41,Survey_Info!A:A, Survey_Info!J:J)</f>
        <v>300</v>
      </c>
      <c r="O41" s="25">
        <v>0</v>
      </c>
    </row>
    <row r="42" spans="1:15" ht="17.25" customHeight="1" x14ac:dyDescent="0.25">
      <c r="A42" s="33" t="s">
        <v>79</v>
      </c>
      <c r="B42" s="34">
        <v>8</v>
      </c>
      <c r="C42" s="34">
        <v>5</v>
      </c>
      <c r="D42" s="34">
        <v>24</v>
      </c>
      <c r="E42" s="35">
        <v>22.9</v>
      </c>
      <c r="F42" s="34">
        <v>-69</v>
      </c>
      <c r="G42" s="34">
        <v>46</v>
      </c>
      <c r="H42" s="35">
        <v>57.3</v>
      </c>
      <c r="I42" s="35">
        <v>296.89999999999998</v>
      </c>
      <c r="J42" s="33" t="s">
        <v>48</v>
      </c>
      <c r="K42" s="16">
        <v>1</v>
      </c>
      <c r="L42" s="14" t="str">
        <f>LOOKUP(J42,Survey_Info!A:A,Survey_Info!G:G)</f>
        <v>TTAG</v>
      </c>
      <c r="M42" s="25">
        <f>LOOKUP(J42,Survey_Info!A:A,Survey_Info!D:D)</f>
        <v>3000</v>
      </c>
      <c r="N42" s="25">
        <f>LOOKUP(J42,Survey_Info!A:A, Survey_Info!J:J)</f>
        <v>300</v>
      </c>
      <c r="O42" s="25">
        <v>0</v>
      </c>
    </row>
    <row r="43" spans="1:15" ht="17.25" customHeight="1" x14ac:dyDescent="0.25">
      <c r="A43" s="33" t="s">
        <v>79</v>
      </c>
      <c r="B43" s="34">
        <v>9</v>
      </c>
      <c r="C43" s="34">
        <v>5</v>
      </c>
      <c r="D43" s="34">
        <v>24</v>
      </c>
      <c r="E43" s="35">
        <v>21.2</v>
      </c>
      <c r="F43" s="34">
        <v>-69</v>
      </c>
      <c r="G43" s="34">
        <v>46</v>
      </c>
      <c r="H43" s="35">
        <v>52.8</v>
      </c>
      <c r="I43" s="35">
        <v>296.89999999999998</v>
      </c>
      <c r="J43" s="33" t="s">
        <v>48</v>
      </c>
      <c r="K43" s="16">
        <v>1</v>
      </c>
      <c r="L43" s="14" t="str">
        <f>LOOKUP(J43,Survey_Info!A:A,Survey_Info!G:G)</f>
        <v>TTAG</v>
      </c>
      <c r="M43" s="25">
        <f>LOOKUP(J43,Survey_Info!A:A,Survey_Info!D:D)</f>
        <v>3000</v>
      </c>
      <c r="N43" s="25">
        <f>LOOKUP(J43,Survey_Info!A:A, Survey_Info!J:J)</f>
        <v>300</v>
      </c>
      <c r="O43" s="25">
        <v>0</v>
      </c>
    </row>
    <row r="44" spans="1:15" ht="17.25" customHeight="1" x14ac:dyDescent="0.25">
      <c r="A44" s="33" t="s">
        <v>79</v>
      </c>
      <c r="B44" s="34">
        <v>10</v>
      </c>
      <c r="C44" s="34">
        <v>5</v>
      </c>
      <c r="D44" s="34">
        <v>24</v>
      </c>
      <c r="E44" s="35">
        <v>19.5</v>
      </c>
      <c r="F44" s="34">
        <v>-69</v>
      </c>
      <c r="G44" s="34">
        <v>46</v>
      </c>
      <c r="H44" s="35">
        <v>48.3</v>
      </c>
      <c r="I44" s="35">
        <v>296.89999999999998</v>
      </c>
      <c r="J44" s="33" t="s">
        <v>48</v>
      </c>
      <c r="K44" s="16">
        <v>1</v>
      </c>
      <c r="L44" s="14" t="str">
        <f>LOOKUP(J44,Survey_Info!A:A,Survey_Info!G:G)</f>
        <v>TTAG</v>
      </c>
      <c r="M44" s="25">
        <f>LOOKUP(J44,Survey_Info!A:A,Survey_Info!D:D)</f>
        <v>3000</v>
      </c>
      <c r="N44" s="25">
        <f>LOOKUP(J44,Survey_Info!A:A, Survey_Info!J:J)</f>
        <v>300</v>
      </c>
      <c r="O44" s="25">
        <v>0</v>
      </c>
    </row>
    <row r="45" spans="1:15" ht="17.25" customHeight="1" x14ac:dyDescent="0.25">
      <c r="A45" s="33" t="s">
        <v>79</v>
      </c>
      <c r="B45" s="34">
        <v>11</v>
      </c>
      <c r="C45" s="34">
        <v>5</v>
      </c>
      <c r="D45" s="34">
        <v>24</v>
      </c>
      <c r="E45" s="35">
        <v>17.7</v>
      </c>
      <c r="F45" s="34">
        <v>-69</v>
      </c>
      <c r="G45" s="34">
        <v>46</v>
      </c>
      <c r="H45" s="35">
        <v>43.8</v>
      </c>
      <c r="I45" s="35">
        <v>296.89999999999998</v>
      </c>
      <c r="J45" s="33" t="s">
        <v>48</v>
      </c>
      <c r="K45" s="16">
        <v>1</v>
      </c>
      <c r="L45" s="14" t="str">
        <f>LOOKUP(J45,Survey_Info!A:A,Survey_Info!G:G)</f>
        <v>TTAG</v>
      </c>
      <c r="M45" s="25">
        <f>LOOKUP(J45,Survey_Info!A:A,Survey_Info!D:D)</f>
        <v>3000</v>
      </c>
      <c r="N45" s="25">
        <f>LOOKUP(J45,Survey_Info!A:A, Survey_Info!J:J)</f>
        <v>300</v>
      </c>
      <c r="O45" s="25">
        <v>0</v>
      </c>
    </row>
    <row r="46" spans="1:15" ht="17.25" customHeight="1" x14ac:dyDescent="0.25">
      <c r="A46" s="33" t="s">
        <v>79</v>
      </c>
      <c r="B46" s="34">
        <v>12</v>
      </c>
      <c r="C46" s="34">
        <v>5</v>
      </c>
      <c r="D46" s="34">
        <v>24</v>
      </c>
      <c r="E46" s="34">
        <v>16</v>
      </c>
      <c r="F46" s="34">
        <v>-69</v>
      </c>
      <c r="G46" s="34">
        <v>46</v>
      </c>
      <c r="H46" s="35">
        <v>39.299999999999997</v>
      </c>
      <c r="I46" s="35">
        <v>296.89999999999998</v>
      </c>
      <c r="J46" s="33" t="s">
        <v>48</v>
      </c>
      <c r="K46" s="16">
        <v>1</v>
      </c>
      <c r="L46" s="14" t="str">
        <f>LOOKUP(J46,Survey_Info!A:A,Survey_Info!G:G)</f>
        <v>TTAG</v>
      </c>
      <c r="M46" s="25">
        <f>LOOKUP(J46,Survey_Info!A:A,Survey_Info!D:D)</f>
        <v>3000</v>
      </c>
      <c r="N46" s="25">
        <f>LOOKUP(J46,Survey_Info!A:A, Survey_Info!J:J)</f>
        <v>300</v>
      </c>
      <c r="O46" s="25">
        <v>0</v>
      </c>
    </row>
    <row r="47" spans="1:15" ht="17.25" customHeight="1" x14ac:dyDescent="0.25">
      <c r="A47" s="33" t="s">
        <v>80</v>
      </c>
      <c r="B47" s="34">
        <v>1</v>
      </c>
      <c r="C47" s="34">
        <v>5</v>
      </c>
      <c r="D47" s="34">
        <v>27</v>
      </c>
      <c r="E47" s="34">
        <v>10</v>
      </c>
      <c r="F47" s="34">
        <v>-66</v>
      </c>
      <c r="G47" s="34">
        <v>9</v>
      </c>
      <c r="H47" s="34">
        <v>45</v>
      </c>
      <c r="I47" s="34">
        <v>218</v>
      </c>
      <c r="J47" s="33" t="s">
        <v>48</v>
      </c>
      <c r="K47" s="16">
        <v>1</v>
      </c>
      <c r="L47" s="14" t="str">
        <f>LOOKUP(J47,Survey_Info!A:A,Survey_Info!G:G)</f>
        <v>TTAG</v>
      </c>
      <c r="M47" s="25">
        <f>LOOKUP(J47,Survey_Info!A:A,Survey_Info!D:D)</f>
        <v>3000</v>
      </c>
      <c r="N47" s="25">
        <f>LOOKUP(J47,Survey_Info!A:A, Survey_Info!J:J)</f>
        <v>300</v>
      </c>
      <c r="O47" s="25">
        <v>0</v>
      </c>
    </row>
    <row r="48" spans="1:15" ht="17.25" customHeight="1" x14ac:dyDescent="0.25">
      <c r="A48" s="33" t="s">
        <v>80</v>
      </c>
      <c r="B48" s="34">
        <v>2</v>
      </c>
      <c r="C48" s="34">
        <v>5</v>
      </c>
      <c r="D48" s="34">
        <v>27</v>
      </c>
      <c r="E48" s="35">
        <v>8.9</v>
      </c>
      <c r="F48" s="34">
        <v>-66</v>
      </c>
      <c r="G48" s="34">
        <v>9</v>
      </c>
      <c r="H48" s="35">
        <v>52.9</v>
      </c>
      <c r="I48" s="34">
        <v>218</v>
      </c>
      <c r="J48" s="33" t="s">
        <v>48</v>
      </c>
      <c r="K48" s="16">
        <v>1</v>
      </c>
      <c r="L48" s="14" t="str">
        <f>LOOKUP(J48,Survey_Info!A:A,Survey_Info!G:G)</f>
        <v>TTAG</v>
      </c>
      <c r="M48" s="25">
        <f>LOOKUP(J48,Survey_Info!A:A,Survey_Info!D:D)</f>
        <v>3000</v>
      </c>
      <c r="N48" s="25">
        <f>LOOKUP(J48,Survey_Info!A:A, Survey_Info!J:J)</f>
        <v>300</v>
      </c>
      <c r="O48" s="25">
        <v>0</v>
      </c>
    </row>
    <row r="49" spans="1:15" ht="17.25" customHeight="1" x14ac:dyDescent="0.25">
      <c r="A49" s="33" t="s">
        <v>80</v>
      </c>
      <c r="B49" s="34">
        <v>3</v>
      </c>
      <c r="C49" s="34">
        <v>5</v>
      </c>
      <c r="D49" s="34">
        <v>27</v>
      </c>
      <c r="E49" s="35">
        <v>7.9</v>
      </c>
      <c r="F49" s="34">
        <v>-66</v>
      </c>
      <c r="G49" s="34">
        <v>10</v>
      </c>
      <c r="H49" s="35">
        <v>0.8</v>
      </c>
      <c r="I49" s="34">
        <v>218</v>
      </c>
      <c r="J49" s="33" t="s">
        <v>48</v>
      </c>
      <c r="K49" s="16">
        <v>1</v>
      </c>
      <c r="L49" s="14" t="str">
        <f>LOOKUP(J49,Survey_Info!A:A,Survey_Info!G:G)</f>
        <v>TTAG</v>
      </c>
      <c r="M49" s="25">
        <f>LOOKUP(J49,Survey_Info!A:A,Survey_Info!D:D)</f>
        <v>3000</v>
      </c>
      <c r="N49" s="25">
        <f>LOOKUP(J49,Survey_Info!A:A, Survey_Info!J:J)</f>
        <v>300</v>
      </c>
      <c r="O49" s="25">
        <v>0</v>
      </c>
    </row>
    <row r="50" spans="1:15" ht="17.25" customHeight="1" x14ac:dyDescent="0.25">
      <c r="A50" s="33" t="s">
        <v>80</v>
      </c>
      <c r="B50" s="34">
        <v>4</v>
      </c>
      <c r="C50" s="34">
        <v>5</v>
      </c>
      <c r="D50" s="34">
        <v>27</v>
      </c>
      <c r="E50" s="35">
        <v>6.9</v>
      </c>
      <c r="F50" s="34">
        <v>-66</v>
      </c>
      <c r="G50" s="34">
        <v>10</v>
      </c>
      <c r="H50" s="35">
        <v>8.6</v>
      </c>
      <c r="I50" s="34">
        <v>218</v>
      </c>
      <c r="J50" s="33" t="s">
        <v>48</v>
      </c>
      <c r="K50" s="16">
        <v>1</v>
      </c>
      <c r="L50" s="14" t="str">
        <f>LOOKUP(J50,Survey_Info!A:A,Survey_Info!G:G)</f>
        <v>TTAG</v>
      </c>
      <c r="M50" s="25">
        <f>LOOKUP(J50,Survey_Info!A:A,Survey_Info!D:D)</f>
        <v>3000</v>
      </c>
      <c r="N50" s="25">
        <f>LOOKUP(J50,Survey_Info!A:A, Survey_Info!J:J)</f>
        <v>300</v>
      </c>
      <c r="O50" s="25">
        <v>0</v>
      </c>
    </row>
    <row r="51" spans="1:15" ht="17.25" customHeight="1" x14ac:dyDescent="0.25">
      <c r="A51" s="33" t="s">
        <v>80</v>
      </c>
      <c r="B51" s="34">
        <v>5</v>
      </c>
      <c r="C51" s="34">
        <v>5</v>
      </c>
      <c r="D51" s="34">
        <v>27</v>
      </c>
      <c r="E51" s="35">
        <v>5.9</v>
      </c>
      <c r="F51" s="34">
        <v>-66</v>
      </c>
      <c r="G51" s="34">
        <v>10</v>
      </c>
      <c r="H51" s="35">
        <v>16.5</v>
      </c>
      <c r="I51" s="34">
        <v>218</v>
      </c>
      <c r="J51" s="33" t="s">
        <v>48</v>
      </c>
      <c r="K51" s="16">
        <v>1</v>
      </c>
      <c r="L51" s="14" t="str">
        <f>LOOKUP(J51,Survey_Info!A:A,Survey_Info!G:G)</f>
        <v>TTAG</v>
      </c>
      <c r="M51" s="25">
        <f>LOOKUP(J51,Survey_Info!A:A,Survey_Info!D:D)</f>
        <v>3000</v>
      </c>
      <c r="N51" s="25">
        <f>LOOKUP(J51,Survey_Info!A:A, Survey_Info!J:J)</f>
        <v>300</v>
      </c>
      <c r="O51" s="25">
        <v>0</v>
      </c>
    </row>
    <row r="52" spans="1:15" ht="17.25" customHeight="1" x14ac:dyDescent="0.25">
      <c r="A52" s="33" t="s">
        <v>80</v>
      </c>
      <c r="B52" s="34">
        <v>6</v>
      </c>
      <c r="C52" s="34">
        <v>5</v>
      </c>
      <c r="D52" s="34">
        <v>27</v>
      </c>
      <c r="E52" s="35">
        <v>4.9000000000000004</v>
      </c>
      <c r="F52" s="34">
        <v>-66</v>
      </c>
      <c r="G52" s="34">
        <v>10</v>
      </c>
      <c r="H52" s="35">
        <v>24.4</v>
      </c>
      <c r="I52" s="34">
        <v>218</v>
      </c>
      <c r="J52" s="33" t="s">
        <v>48</v>
      </c>
      <c r="K52" s="16">
        <v>1</v>
      </c>
      <c r="L52" s="14" t="str">
        <f>LOOKUP(J52,Survey_Info!A:A,Survey_Info!G:G)</f>
        <v>TTAG</v>
      </c>
      <c r="M52" s="25">
        <f>LOOKUP(J52,Survey_Info!A:A,Survey_Info!D:D)</f>
        <v>3000</v>
      </c>
      <c r="N52" s="25">
        <f>LOOKUP(J52,Survey_Info!A:A, Survey_Info!J:J)</f>
        <v>300</v>
      </c>
      <c r="O52" s="25">
        <v>0</v>
      </c>
    </row>
    <row r="53" spans="1:15" ht="17.25" customHeight="1" x14ac:dyDescent="0.25">
      <c r="A53" s="33" t="s">
        <v>80</v>
      </c>
      <c r="B53" s="34">
        <v>7</v>
      </c>
      <c r="C53" s="34">
        <v>5</v>
      </c>
      <c r="D53" s="34">
        <v>27</v>
      </c>
      <c r="E53" s="35">
        <v>3.9</v>
      </c>
      <c r="F53" s="34">
        <v>-66</v>
      </c>
      <c r="G53" s="34">
        <v>10</v>
      </c>
      <c r="H53" s="35">
        <v>32.299999999999997</v>
      </c>
      <c r="I53" s="34">
        <v>218</v>
      </c>
      <c r="J53" s="33" t="s">
        <v>48</v>
      </c>
      <c r="K53" s="16">
        <v>1</v>
      </c>
      <c r="L53" s="14" t="str">
        <f>LOOKUP(J53,Survey_Info!A:A,Survey_Info!G:G)</f>
        <v>TTAG</v>
      </c>
      <c r="M53" s="25">
        <f>LOOKUP(J53,Survey_Info!A:A,Survey_Info!D:D)</f>
        <v>3000</v>
      </c>
      <c r="N53" s="25">
        <f>LOOKUP(J53,Survey_Info!A:A, Survey_Info!J:J)</f>
        <v>300</v>
      </c>
      <c r="O53" s="25">
        <v>0</v>
      </c>
    </row>
    <row r="54" spans="1:15" ht="17.25" customHeight="1" x14ac:dyDescent="0.25">
      <c r="A54" s="33" t="s">
        <v>80</v>
      </c>
      <c r="B54" s="34">
        <v>8</v>
      </c>
      <c r="C54" s="34">
        <v>5</v>
      </c>
      <c r="D54" s="34">
        <v>27</v>
      </c>
      <c r="E54" s="35">
        <v>2.8</v>
      </c>
      <c r="F54" s="34">
        <v>-66</v>
      </c>
      <c r="G54" s="34">
        <v>10</v>
      </c>
      <c r="H54" s="35">
        <v>40.200000000000003</v>
      </c>
      <c r="I54" s="34">
        <v>218</v>
      </c>
      <c r="J54" s="33" t="s">
        <v>48</v>
      </c>
      <c r="K54" s="16">
        <v>1</v>
      </c>
      <c r="L54" s="14" t="str">
        <f>LOOKUP(J54,Survey_Info!A:A,Survey_Info!G:G)</f>
        <v>TTAG</v>
      </c>
      <c r="M54" s="25">
        <f>LOOKUP(J54,Survey_Info!A:A,Survey_Info!D:D)</f>
        <v>3000</v>
      </c>
      <c r="N54" s="25">
        <f>LOOKUP(J54,Survey_Info!A:A, Survey_Info!J:J)</f>
        <v>300</v>
      </c>
      <c r="O54" s="25">
        <v>0</v>
      </c>
    </row>
    <row r="55" spans="1:15" ht="17.25" customHeight="1" x14ac:dyDescent="0.25">
      <c r="A55" s="33" t="s">
        <v>80</v>
      </c>
      <c r="B55" s="34">
        <v>9</v>
      </c>
      <c r="C55" s="34">
        <v>5</v>
      </c>
      <c r="D55" s="34">
        <v>27</v>
      </c>
      <c r="E55" s="35">
        <v>1.8</v>
      </c>
      <c r="F55" s="34">
        <v>-66</v>
      </c>
      <c r="G55" s="34">
        <v>10</v>
      </c>
      <c r="H55" s="34">
        <v>48</v>
      </c>
      <c r="I55" s="34">
        <v>218</v>
      </c>
      <c r="J55" s="33" t="s">
        <v>48</v>
      </c>
      <c r="K55" s="16">
        <v>1</v>
      </c>
      <c r="L55" s="14" t="str">
        <f>LOOKUP(J55,Survey_Info!A:A,Survey_Info!G:G)</f>
        <v>TTAG</v>
      </c>
      <c r="M55" s="25">
        <f>LOOKUP(J55,Survey_Info!A:A,Survey_Info!D:D)</f>
        <v>3000</v>
      </c>
      <c r="N55" s="25">
        <f>LOOKUP(J55,Survey_Info!A:A, Survey_Info!J:J)</f>
        <v>300</v>
      </c>
      <c r="O55" s="25">
        <v>0</v>
      </c>
    </row>
    <row r="56" spans="1:15" ht="17.25" customHeight="1" x14ac:dyDescent="0.25">
      <c r="A56" s="33" t="s">
        <v>81</v>
      </c>
      <c r="B56" s="34">
        <v>1</v>
      </c>
      <c r="C56" s="34">
        <v>5</v>
      </c>
      <c r="D56" s="34">
        <v>9</v>
      </c>
      <c r="E56" s="34">
        <v>30</v>
      </c>
      <c r="F56" s="34">
        <v>-68</v>
      </c>
      <c r="G56" s="34">
        <v>30</v>
      </c>
      <c r="H56" s="34">
        <v>31</v>
      </c>
      <c r="I56" s="35">
        <v>97.8</v>
      </c>
      <c r="J56" s="33" t="s">
        <v>48</v>
      </c>
      <c r="K56" s="16">
        <v>1</v>
      </c>
      <c r="L56" s="14" t="str">
        <f>LOOKUP(J56,Survey_Info!A:A,Survey_Info!G:G)</f>
        <v>TTAG</v>
      </c>
      <c r="M56" s="25">
        <f>LOOKUP(J56,Survey_Info!A:A,Survey_Info!D:D)</f>
        <v>3000</v>
      </c>
      <c r="N56" s="25">
        <f>LOOKUP(J56,Survey_Info!A:A, Survey_Info!J:J)</f>
        <v>300</v>
      </c>
      <c r="O56" s="25">
        <v>0</v>
      </c>
    </row>
    <row r="57" spans="1:15" ht="17.25" customHeight="1" x14ac:dyDescent="0.25">
      <c r="A57" s="33" t="s">
        <v>81</v>
      </c>
      <c r="B57" s="34">
        <v>2</v>
      </c>
      <c r="C57" s="34">
        <v>5</v>
      </c>
      <c r="D57" s="34">
        <v>9</v>
      </c>
      <c r="E57" s="35">
        <v>31.8</v>
      </c>
      <c r="F57" s="34">
        <v>-68</v>
      </c>
      <c r="G57" s="34">
        <v>30</v>
      </c>
      <c r="H57" s="35">
        <v>32.4</v>
      </c>
      <c r="I57" s="35">
        <v>97.8</v>
      </c>
      <c r="J57" s="33" t="s">
        <v>48</v>
      </c>
      <c r="K57" s="16">
        <v>1</v>
      </c>
      <c r="L57" s="14" t="str">
        <f>LOOKUP(J57,Survey_Info!A:A,Survey_Info!G:G)</f>
        <v>TTAG</v>
      </c>
      <c r="M57" s="25">
        <f>LOOKUP(J57,Survey_Info!A:A,Survey_Info!D:D)</f>
        <v>3000</v>
      </c>
      <c r="N57" s="25">
        <f>LOOKUP(J57,Survey_Info!A:A, Survey_Info!J:J)</f>
        <v>300</v>
      </c>
      <c r="O57" s="25">
        <v>0</v>
      </c>
    </row>
    <row r="58" spans="1:15" ht="17.25" customHeight="1" x14ac:dyDescent="0.25">
      <c r="A58" s="33" t="s">
        <v>81</v>
      </c>
      <c r="B58" s="34">
        <v>3</v>
      </c>
      <c r="C58" s="34">
        <v>5</v>
      </c>
      <c r="D58" s="34">
        <v>9</v>
      </c>
      <c r="E58" s="35">
        <v>33.6</v>
      </c>
      <c r="F58" s="34">
        <v>-68</v>
      </c>
      <c r="G58" s="34">
        <v>30</v>
      </c>
      <c r="H58" s="35">
        <v>33.700000000000003</v>
      </c>
      <c r="I58" s="35">
        <v>97.8</v>
      </c>
      <c r="J58" s="33" t="s">
        <v>48</v>
      </c>
      <c r="K58" s="16">
        <v>1</v>
      </c>
      <c r="L58" s="14" t="str">
        <f>LOOKUP(J58,Survey_Info!A:A,Survey_Info!G:G)</f>
        <v>TTAG</v>
      </c>
      <c r="M58" s="25">
        <f>LOOKUP(J58,Survey_Info!A:A,Survey_Info!D:D)</f>
        <v>3000</v>
      </c>
      <c r="N58" s="25">
        <f>LOOKUP(J58,Survey_Info!A:A, Survey_Info!J:J)</f>
        <v>300</v>
      </c>
      <c r="O58" s="25">
        <v>0</v>
      </c>
    </row>
    <row r="59" spans="1:15" ht="17.25" customHeight="1" x14ac:dyDescent="0.25">
      <c r="A59" s="33" t="s">
        <v>82</v>
      </c>
      <c r="B59" s="34">
        <v>1</v>
      </c>
      <c r="C59" s="34">
        <v>5</v>
      </c>
      <c r="D59" s="34">
        <v>6</v>
      </c>
      <c r="E59" s="34">
        <v>52</v>
      </c>
      <c r="F59" s="34">
        <v>-67</v>
      </c>
      <c r="G59" s="34">
        <v>58</v>
      </c>
      <c r="H59" s="34">
        <v>16</v>
      </c>
      <c r="I59" s="35">
        <v>229.8</v>
      </c>
      <c r="J59" s="33" t="s">
        <v>48</v>
      </c>
      <c r="K59" s="16">
        <v>1</v>
      </c>
      <c r="L59" s="14" t="str">
        <f>LOOKUP(J59,Survey_Info!A:A,Survey_Info!G:G)</f>
        <v>TTAG</v>
      </c>
      <c r="M59" s="25">
        <f>LOOKUP(J59,Survey_Info!A:A,Survey_Info!D:D)</f>
        <v>3000</v>
      </c>
      <c r="N59" s="25">
        <f>LOOKUP(J59,Survey_Info!A:A, Survey_Info!J:J)</f>
        <v>300</v>
      </c>
      <c r="O59" s="25">
        <v>0</v>
      </c>
    </row>
    <row r="60" spans="1:15" ht="17.25" customHeight="1" x14ac:dyDescent="0.25">
      <c r="A60" s="33" t="s">
        <v>82</v>
      </c>
      <c r="B60" s="34">
        <v>2</v>
      </c>
      <c r="C60" s="34">
        <v>5</v>
      </c>
      <c r="D60" s="34">
        <v>6</v>
      </c>
      <c r="E60" s="35">
        <v>50.6</v>
      </c>
      <c r="F60" s="34">
        <v>-67</v>
      </c>
      <c r="G60" s="34">
        <v>58</v>
      </c>
      <c r="H60" s="35">
        <v>22.5</v>
      </c>
      <c r="I60" s="35">
        <v>229.8</v>
      </c>
      <c r="J60" s="33" t="s">
        <v>48</v>
      </c>
      <c r="K60" s="16">
        <v>1</v>
      </c>
      <c r="L60" s="14" t="str">
        <f>LOOKUP(J60,Survey_Info!A:A,Survey_Info!G:G)</f>
        <v>TTAG</v>
      </c>
      <c r="M60" s="25">
        <f>LOOKUP(J60,Survey_Info!A:A,Survey_Info!D:D)</f>
        <v>3000</v>
      </c>
      <c r="N60" s="25">
        <f>LOOKUP(J60,Survey_Info!A:A, Survey_Info!J:J)</f>
        <v>300</v>
      </c>
      <c r="O60" s="25">
        <v>0</v>
      </c>
    </row>
    <row r="61" spans="1:15" ht="17.25" customHeight="1" x14ac:dyDescent="0.25">
      <c r="A61" s="33" t="s">
        <v>82</v>
      </c>
      <c r="B61" s="34">
        <v>3</v>
      </c>
      <c r="C61" s="34">
        <v>5</v>
      </c>
      <c r="D61" s="34">
        <v>6</v>
      </c>
      <c r="E61" s="35">
        <v>49.2</v>
      </c>
      <c r="F61" s="34">
        <v>-67</v>
      </c>
      <c r="G61" s="34">
        <v>58</v>
      </c>
      <c r="H61" s="35">
        <v>28.9</v>
      </c>
      <c r="I61" s="35">
        <v>229.8</v>
      </c>
      <c r="J61" s="33" t="s">
        <v>48</v>
      </c>
      <c r="K61" s="16">
        <v>1</v>
      </c>
      <c r="L61" s="14" t="str">
        <f>LOOKUP(J61,Survey_Info!A:A,Survey_Info!G:G)</f>
        <v>TTAG</v>
      </c>
      <c r="M61" s="25">
        <f>LOOKUP(J61,Survey_Info!A:A,Survey_Info!D:D)</f>
        <v>3000</v>
      </c>
      <c r="N61" s="25">
        <f>LOOKUP(J61,Survey_Info!A:A, Survey_Info!J:J)</f>
        <v>300</v>
      </c>
      <c r="O61" s="25">
        <v>0</v>
      </c>
    </row>
    <row r="62" spans="1:15" ht="17.25" customHeight="1" x14ac:dyDescent="0.25">
      <c r="A62" s="33" t="s">
        <v>82</v>
      </c>
      <c r="B62" s="34">
        <v>4</v>
      </c>
      <c r="C62" s="34">
        <v>5</v>
      </c>
      <c r="D62" s="34">
        <v>6</v>
      </c>
      <c r="E62" s="35">
        <v>47.9</v>
      </c>
      <c r="F62" s="34">
        <v>-67</v>
      </c>
      <c r="G62" s="34">
        <v>58</v>
      </c>
      <c r="H62" s="35">
        <v>35.4</v>
      </c>
      <c r="I62" s="35">
        <v>229.8</v>
      </c>
      <c r="J62" s="33" t="s">
        <v>48</v>
      </c>
      <c r="K62" s="16">
        <v>1</v>
      </c>
      <c r="L62" s="14" t="str">
        <f>LOOKUP(J62,Survey_Info!A:A,Survey_Info!G:G)</f>
        <v>TTAG</v>
      </c>
      <c r="M62" s="25">
        <f>LOOKUP(J62,Survey_Info!A:A,Survey_Info!D:D)</f>
        <v>3000</v>
      </c>
      <c r="N62" s="25">
        <f>LOOKUP(J62,Survey_Info!A:A, Survey_Info!J:J)</f>
        <v>300</v>
      </c>
      <c r="O62" s="25">
        <v>0</v>
      </c>
    </row>
    <row r="63" spans="1:15" ht="17.25" customHeight="1" x14ac:dyDescent="0.25">
      <c r="A63" s="33" t="s">
        <v>82</v>
      </c>
      <c r="B63" s="34">
        <v>5</v>
      </c>
      <c r="C63" s="34">
        <v>5</v>
      </c>
      <c r="D63" s="34">
        <v>6</v>
      </c>
      <c r="E63" s="35">
        <v>46.5</v>
      </c>
      <c r="F63" s="34">
        <v>-67</v>
      </c>
      <c r="G63" s="34">
        <v>58</v>
      </c>
      <c r="H63" s="35">
        <v>41.8</v>
      </c>
      <c r="I63" s="35">
        <v>229.8</v>
      </c>
      <c r="J63" s="33" t="s">
        <v>48</v>
      </c>
      <c r="K63" s="16">
        <v>1</v>
      </c>
      <c r="L63" s="14" t="str">
        <f>LOOKUP(J63,Survey_Info!A:A,Survey_Info!G:G)</f>
        <v>TTAG</v>
      </c>
      <c r="M63" s="25">
        <f>LOOKUP(J63,Survey_Info!A:A,Survey_Info!D:D)</f>
        <v>3000</v>
      </c>
      <c r="N63" s="25">
        <f>LOOKUP(J63,Survey_Info!A:A, Survey_Info!J:J)</f>
        <v>300</v>
      </c>
      <c r="O63" s="25">
        <v>0</v>
      </c>
    </row>
    <row r="64" spans="1:15" ht="17.25" customHeight="1" x14ac:dyDescent="0.25">
      <c r="A64" s="33" t="s">
        <v>82</v>
      </c>
      <c r="B64" s="34">
        <v>6</v>
      </c>
      <c r="C64" s="34">
        <v>5</v>
      </c>
      <c r="D64" s="34">
        <v>6</v>
      </c>
      <c r="E64" s="35">
        <v>45.2</v>
      </c>
      <c r="F64" s="34">
        <v>-67</v>
      </c>
      <c r="G64" s="34">
        <v>58</v>
      </c>
      <c r="H64" s="35">
        <v>48.3</v>
      </c>
      <c r="I64" s="35">
        <v>229.8</v>
      </c>
      <c r="J64" s="33" t="s">
        <v>48</v>
      </c>
      <c r="K64" s="16">
        <v>1</v>
      </c>
      <c r="L64" s="14" t="str">
        <f>LOOKUP(J64,Survey_Info!A:A,Survey_Info!G:G)</f>
        <v>TTAG</v>
      </c>
      <c r="M64" s="25">
        <f>LOOKUP(J64,Survey_Info!A:A,Survey_Info!D:D)</f>
        <v>3000</v>
      </c>
      <c r="N64" s="25">
        <f>LOOKUP(J64,Survey_Info!A:A, Survey_Info!J:J)</f>
        <v>300</v>
      </c>
      <c r="O64" s="25">
        <v>0</v>
      </c>
    </row>
    <row r="65" spans="1:15" ht="17.25" customHeight="1" x14ac:dyDescent="0.25">
      <c r="A65" s="33" t="s">
        <v>82</v>
      </c>
      <c r="B65" s="34">
        <v>7</v>
      </c>
      <c r="C65" s="34">
        <v>5</v>
      </c>
      <c r="D65" s="34">
        <v>6</v>
      </c>
      <c r="E65" s="35">
        <v>43.8</v>
      </c>
      <c r="F65" s="34">
        <v>-67</v>
      </c>
      <c r="G65" s="34">
        <v>58</v>
      </c>
      <c r="H65" s="35">
        <v>54.7</v>
      </c>
      <c r="I65" s="35">
        <v>229.8</v>
      </c>
      <c r="J65" s="33" t="s">
        <v>48</v>
      </c>
      <c r="K65" s="16">
        <v>1</v>
      </c>
      <c r="L65" s="14" t="str">
        <f>LOOKUP(J65,Survey_Info!A:A,Survey_Info!G:G)</f>
        <v>TTAG</v>
      </c>
      <c r="M65" s="25">
        <f>LOOKUP(J65,Survey_Info!A:A,Survey_Info!D:D)</f>
        <v>3000</v>
      </c>
      <c r="N65" s="25">
        <f>LOOKUP(J65,Survey_Info!A:A, Survey_Info!J:J)</f>
        <v>300</v>
      </c>
      <c r="O65" s="25">
        <v>0</v>
      </c>
    </row>
    <row r="66" spans="1:15" ht="17.25" customHeight="1" x14ac:dyDescent="0.25">
      <c r="A66" s="33" t="s">
        <v>83</v>
      </c>
      <c r="B66" s="34">
        <v>1</v>
      </c>
      <c r="C66" s="34">
        <v>5</v>
      </c>
      <c r="D66" s="34">
        <v>17</v>
      </c>
      <c r="E66" s="34">
        <v>26</v>
      </c>
      <c r="F66" s="34">
        <v>-68</v>
      </c>
      <c r="G66" s="34">
        <v>54</v>
      </c>
      <c r="H66" s="34">
        <v>21</v>
      </c>
      <c r="I66" s="35">
        <v>32.9</v>
      </c>
      <c r="J66" s="33" t="s">
        <v>48</v>
      </c>
      <c r="K66" s="16">
        <v>1</v>
      </c>
      <c r="L66" s="14" t="str">
        <f>LOOKUP(J66,Survey_Info!A:A,Survey_Info!G:G)</f>
        <v>TTAG</v>
      </c>
      <c r="M66" s="25">
        <f>LOOKUP(J66,Survey_Info!A:A,Survey_Info!D:D)</f>
        <v>3000</v>
      </c>
      <c r="N66" s="25">
        <f>LOOKUP(J66,Survey_Info!A:A, Survey_Info!J:J)</f>
        <v>300</v>
      </c>
      <c r="O66" s="25">
        <v>0</v>
      </c>
    </row>
    <row r="67" spans="1:15" ht="17.25" customHeight="1" x14ac:dyDescent="0.25">
      <c r="A67" s="33" t="s">
        <v>83</v>
      </c>
      <c r="B67" s="34">
        <v>2</v>
      </c>
      <c r="C67" s="34">
        <v>5</v>
      </c>
      <c r="D67" s="34">
        <v>17</v>
      </c>
      <c r="E67" s="34">
        <v>27</v>
      </c>
      <c r="F67" s="34">
        <v>-68</v>
      </c>
      <c r="G67" s="34">
        <v>54</v>
      </c>
      <c r="H67" s="35">
        <v>12.6</v>
      </c>
      <c r="I67" s="35">
        <v>32.9</v>
      </c>
      <c r="J67" s="33" t="s">
        <v>48</v>
      </c>
      <c r="K67" s="16">
        <v>1</v>
      </c>
      <c r="L67" s="14" t="str">
        <f>LOOKUP(J67,Survey_Info!A:A,Survey_Info!G:G)</f>
        <v>TTAG</v>
      </c>
      <c r="M67" s="25">
        <f>LOOKUP(J67,Survey_Info!A:A,Survey_Info!D:D)</f>
        <v>3000</v>
      </c>
      <c r="N67" s="25">
        <f>LOOKUP(J67,Survey_Info!A:A, Survey_Info!J:J)</f>
        <v>300</v>
      </c>
      <c r="O67" s="25">
        <v>0</v>
      </c>
    </row>
    <row r="68" spans="1:15" ht="17.25" customHeight="1" x14ac:dyDescent="0.25">
      <c r="A68" s="33" t="s">
        <v>83</v>
      </c>
      <c r="B68" s="34">
        <v>3</v>
      </c>
      <c r="C68" s="34">
        <v>5</v>
      </c>
      <c r="D68" s="34">
        <v>17</v>
      </c>
      <c r="E68" s="34">
        <v>28</v>
      </c>
      <c r="F68" s="34">
        <v>-68</v>
      </c>
      <c r="G68" s="34">
        <v>54</v>
      </c>
      <c r="H68" s="35">
        <v>4.2</v>
      </c>
      <c r="I68" s="35">
        <v>32.9</v>
      </c>
      <c r="J68" s="33" t="s">
        <v>48</v>
      </c>
      <c r="K68" s="16">
        <v>1</v>
      </c>
      <c r="L68" s="14" t="str">
        <f>LOOKUP(J68,Survey_Info!A:A,Survey_Info!G:G)</f>
        <v>TTAG</v>
      </c>
      <c r="M68" s="25">
        <f>LOOKUP(J68,Survey_Info!A:A,Survey_Info!D:D)</f>
        <v>3000</v>
      </c>
      <c r="N68" s="25">
        <f>LOOKUP(J68,Survey_Info!A:A, Survey_Info!J:J)</f>
        <v>300</v>
      </c>
      <c r="O68" s="25">
        <v>0</v>
      </c>
    </row>
    <row r="69" spans="1:15" ht="17.25" customHeight="1" x14ac:dyDescent="0.25">
      <c r="A69" s="33" t="s">
        <v>83</v>
      </c>
      <c r="B69" s="34">
        <v>4</v>
      </c>
      <c r="C69" s="34">
        <v>5</v>
      </c>
      <c r="D69" s="34">
        <v>17</v>
      </c>
      <c r="E69" s="34">
        <v>29</v>
      </c>
      <c r="F69" s="34">
        <v>-68</v>
      </c>
      <c r="G69" s="34">
        <v>53</v>
      </c>
      <c r="H69" s="35">
        <v>55.8</v>
      </c>
      <c r="I69" s="35">
        <v>32.9</v>
      </c>
      <c r="J69" s="33" t="s">
        <v>48</v>
      </c>
      <c r="K69" s="16">
        <v>1</v>
      </c>
      <c r="L69" s="14" t="str">
        <f>LOOKUP(J69,Survey_Info!A:A,Survey_Info!G:G)</f>
        <v>TTAG</v>
      </c>
      <c r="M69" s="25">
        <f>LOOKUP(J69,Survey_Info!A:A,Survey_Info!D:D)</f>
        <v>3000</v>
      </c>
      <c r="N69" s="25">
        <f>LOOKUP(J69,Survey_Info!A:A, Survey_Info!J:J)</f>
        <v>300</v>
      </c>
      <c r="O69" s="25">
        <v>0</v>
      </c>
    </row>
    <row r="70" spans="1:15" ht="17.25" customHeight="1" x14ac:dyDescent="0.25">
      <c r="A70" s="33" t="s">
        <v>84</v>
      </c>
      <c r="B70" s="34">
        <v>1</v>
      </c>
      <c r="C70" s="34">
        <v>6</v>
      </c>
      <c r="D70" s="34">
        <v>39</v>
      </c>
      <c r="E70" s="34">
        <v>55</v>
      </c>
      <c r="F70" s="34">
        <v>-69</v>
      </c>
      <c r="G70" s="34">
        <v>27</v>
      </c>
      <c r="H70" s="34">
        <v>32</v>
      </c>
      <c r="I70" s="35">
        <v>280.7</v>
      </c>
      <c r="J70" s="33" t="s">
        <v>48</v>
      </c>
      <c r="K70" s="16">
        <v>1</v>
      </c>
      <c r="L70" s="14" t="str">
        <f>LOOKUP(J70,Survey_Info!A:A,Survey_Info!G:G)</f>
        <v>TTAG</v>
      </c>
      <c r="M70" s="25">
        <f>LOOKUP(J70,Survey_Info!A:A,Survey_Info!D:D)</f>
        <v>3000</v>
      </c>
      <c r="N70" s="25">
        <f>LOOKUP(J70,Survey_Info!A:A, Survey_Info!J:J)</f>
        <v>300</v>
      </c>
      <c r="O70" s="25">
        <v>0</v>
      </c>
    </row>
    <row r="71" spans="1:15" ht="17.25" customHeight="1" x14ac:dyDescent="0.25">
      <c r="A71" s="33" t="s">
        <v>85</v>
      </c>
      <c r="B71" s="34">
        <v>1</v>
      </c>
      <c r="C71" s="34">
        <v>5</v>
      </c>
      <c r="D71" s="34">
        <v>36</v>
      </c>
      <c r="E71" s="34">
        <v>37</v>
      </c>
      <c r="F71" s="34">
        <v>-69</v>
      </c>
      <c r="G71" s="34">
        <v>6</v>
      </c>
      <c r="H71" s="34">
        <v>10</v>
      </c>
      <c r="I71" s="35">
        <v>146.5</v>
      </c>
      <c r="J71" s="33" t="s">
        <v>48</v>
      </c>
      <c r="K71" s="16">
        <v>1</v>
      </c>
      <c r="L71" s="14" t="str">
        <f>LOOKUP(J71,Survey_Info!A:A,Survey_Info!G:G)</f>
        <v>TTAG</v>
      </c>
      <c r="M71" s="25">
        <f>LOOKUP(J71,Survey_Info!A:A,Survey_Info!D:D)</f>
        <v>3000</v>
      </c>
      <c r="N71" s="25">
        <f>LOOKUP(J71,Survey_Info!A:A, Survey_Info!J:J)</f>
        <v>300</v>
      </c>
      <c r="O71" s="25">
        <v>0</v>
      </c>
    </row>
    <row r="72" spans="1:15" ht="17.25" customHeight="1" x14ac:dyDescent="0.25">
      <c r="A72" s="33" t="s">
        <v>85</v>
      </c>
      <c r="B72" s="34">
        <v>2</v>
      </c>
      <c r="C72" s="34">
        <v>5</v>
      </c>
      <c r="D72" s="34">
        <v>36</v>
      </c>
      <c r="E72" s="34">
        <v>38</v>
      </c>
      <c r="F72" s="34">
        <v>-69</v>
      </c>
      <c r="G72" s="34">
        <v>6</v>
      </c>
      <c r="H72" s="35">
        <v>18.3</v>
      </c>
      <c r="I72" s="35">
        <v>146.5</v>
      </c>
      <c r="J72" s="33" t="s">
        <v>48</v>
      </c>
      <c r="K72" s="16">
        <v>1</v>
      </c>
      <c r="L72" s="14" t="str">
        <f>LOOKUP(J72,Survey_Info!A:A,Survey_Info!G:G)</f>
        <v>TTAG</v>
      </c>
      <c r="M72" s="25">
        <f>LOOKUP(J72,Survey_Info!A:A,Survey_Info!D:D)</f>
        <v>3000</v>
      </c>
      <c r="N72" s="25">
        <f>LOOKUP(J72,Survey_Info!A:A, Survey_Info!J:J)</f>
        <v>300</v>
      </c>
      <c r="O72" s="25">
        <v>0</v>
      </c>
    </row>
    <row r="73" spans="1:15" ht="17.25" customHeight="1" x14ac:dyDescent="0.25">
      <c r="A73" s="33" t="s">
        <v>85</v>
      </c>
      <c r="B73" s="34">
        <v>3</v>
      </c>
      <c r="C73" s="34">
        <v>5</v>
      </c>
      <c r="D73" s="34">
        <v>36</v>
      </c>
      <c r="E73" s="34">
        <v>39</v>
      </c>
      <c r="F73" s="34">
        <v>-69</v>
      </c>
      <c r="G73" s="34">
        <v>6</v>
      </c>
      <c r="H73" s="35">
        <v>26.7</v>
      </c>
      <c r="I73" s="35">
        <v>146.5</v>
      </c>
      <c r="J73" s="33" t="s">
        <v>48</v>
      </c>
      <c r="K73" s="16">
        <v>1</v>
      </c>
      <c r="L73" s="14" t="str">
        <f>LOOKUP(J73,Survey_Info!A:A,Survey_Info!G:G)</f>
        <v>TTAG</v>
      </c>
      <c r="M73" s="25">
        <f>LOOKUP(J73,Survey_Info!A:A,Survey_Info!D:D)</f>
        <v>3000</v>
      </c>
      <c r="N73" s="25">
        <f>LOOKUP(J73,Survey_Info!A:A, Survey_Info!J:J)</f>
        <v>300</v>
      </c>
      <c r="O73" s="25">
        <v>0</v>
      </c>
    </row>
    <row r="74" spans="1:15" ht="17.25" customHeight="1" x14ac:dyDescent="0.25">
      <c r="A74" s="33" t="s">
        <v>85</v>
      </c>
      <c r="B74" s="34">
        <v>4</v>
      </c>
      <c r="C74" s="34">
        <v>5</v>
      </c>
      <c r="D74" s="34">
        <v>36</v>
      </c>
      <c r="E74" s="34">
        <v>40</v>
      </c>
      <c r="F74" s="34">
        <v>-69</v>
      </c>
      <c r="G74" s="34">
        <v>6</v>
      </c>
      <c r="H74" s="34">
        <v>35</v>
      </c>
      <c r="I74" s="35">
        <v>146.5</v>
      </c>
      <c r="J74" s="33" t="s">
        <v>48</v>
      </c>
      <c r="K74" s="16">
        <v>1</v>
      </c>
      <c r="L74" s="14" t="str">
        <f>LOOKUP(J74,Survey_Info!A:A,Survey_Info!G:G)</f>
        <v>TTAG</v>
      </c>
      <c r="M74" s="25">
        <f>LOOKUP(J74,Survey_Info!A:A,Survey_Info!D:D)</f>
        <v>3000</v>
      </c>
      <c r="N74" s="25">
        <f>LOOKUP(J74,Survey_Info!A:A, Survey_Info!J:J)</f>
        <v>300</v>
      </c>
      <c r="O74" s="25">
        <v>0</v>
      </c>
    </row>
    <row r="75" spans="1:15" ht="17.25" customHeight="1" x14ac:dyDescent="0.25">
      <c r="A75" s="33" t="s">
        <v>85</v>
      </c>
      <c r="B75" s="34">
        <v>5</v>
      </c>
      <c r="C75" s="34">
        <v>5</v>
      </c>
      <c r="D75" s="34">
        <v>36</v>
      </c>
      <c r="E75" s="35">
        <v>41.1</v>
      </c>
      <c r="F75" s="34">
        <v>-69</v>
      </c>
      <c r="G75" s="34">
        <v>6</v>
      </c>
      <c r="H75" s="35">
        <v>43.3</v>
      </c>
      <c r="I75" s="35">
        <v>146.5</v>
      </c>
      <c r="J75" s="33" t="s">
        <v>48</v>
      </c>
      <c r="K75" s="16">
        <v>1</v>
      </c>
      <c r="L75" s="14" t="str">
        <f>LOOKUP(J75,Survey_Info!A:A,Survey_Info!G:G)</f>
        <v>TTAG</v>
      </c>
      <c r="M75" s="25">
        <f>LOOKUP(J75,Survey_Info!A:A,Survey_Info!D:D)</f>
        <v>3000</v>
      </c>
      <c r="N75" s="25">
        <f>LOOKUP(J75,Survey_Info!A:A, Survey_Info!J:J)</f>
        <v>300</v>
      </c>
      <c r="O75" s="25">
        <v>0</v>
      </c>
    </row>
    <row r="76" spans="1:15" ht="17.25" customHeight="1" x14ac:dyDescent="0.25">
      <c r="A76" s="33" t="s">
        <v>85</v>
      </c>
      <c r="B76" s="34">
        <v>6</v>
      </c>
      <c r="C76" s="34">
        <v>5</v>
      </c>
      <c r="D76" s="34">
        <v>36</v>
      </c>
      <c r="E76" s="35">
        <v>42.1</v>
      </c>
      <c r="F76" s="34">
        <v>-69</v>
      </c>
      <c r="G76" s="34">
        <v>6</v>
      </c>
      <c r="H76" s="35">
        <v>51.7</v>
      </c>
      <c r="I76" s="35">
        <v>146.5</v>
      </c>
      <c r="J76" s="33" t="s">
        <v>48</v>
      </c>
      <c r="K76" s="16">
        <v>1</v>
      </c>
      <c r="L76" s="14" t="str">
        <f>LOOKUP(J76,Survey_Info!A:A,Survey_Info!G:G)</f>
        <v>TTAG</v>
      </c>
      <c r="M76" s="25">
        <f>LOOKUP(J76,Survey_Info!A:A,Survey_Info!D:D)</f>
        <v>3000</v>
      </c>
      <c r="N76" s="25">
        <f>LOOKUP(J76,Survey_Info!A:A, Survey_Info!J:J)</f>
        <v>300</v>
      </c>
      <c r="O76" s="25">
        <v>0</v>
      </c>
    </row>
    <row r="77" spans="1:15" ht="17.25" customHeight="1" x14ac:dyDescent="0.25">
      <c r="A77" s="33" t="s">
        <v>85</v>
      </c>
      <c r="B77" s="34">
        <v>7</v>
      </c>
      <c r="C77" s="34">
        <v>5</v>
      </c>
      <c r="D77" s="34">
        <v>36</v>
      </c>
      <c r="E77" s="35">
        <v>43.1</v>
      </c>
      <c r="F77" s="34">
        <v>-69</v>
      </c>
      <c r="G77" s="34">
        <v>7</v>
      </c>
      <c r="H77" s="34">
        <v>0</v>
      </c>
      <c r="I77" s="35">
        <v>146.5</v>
      </c>
      <c r="J77" s="33" t="s">
        <v>48</v>
      </c>
      <c r="K77" s="16">
        <v>1</v>
      </c>
      <c r="L77" s="14" t="str">
        <f>LOOKUP(J77,Survey_Info!A:A,Survey_Info!G:G)</f>
        <v>TTAG</v>
      </c>
      <c r="M77" s="25">
        <f>LOOKUP(J77,Survey_Info!A:A,Survey_Info!D:D)</f>
        <v>3000</v>
      </c>
      <c r="N77" s="25">
        <f>LOOKUP(J77,Survey_Info!A:A, Survey_Info!J:J)</f>
        <v>300</v>
      </c>
      <c r="O77" s="25">
        <v>0</v>
      </c>
    </row>
    <row r="78" spans="1:15" ht="17.25" customHeight="1" x14ac:dyDescent="0.25">
      <c r="A78" s="33" t="s">
        <v>85</v>
      </c>
      <c r="B78" s="34">
        <v>8</v>
      </c>
      <c r="C78" s="34">
        <v>5</v>
      </c>
      <c r="D78" s="34">
        <v>36</v>
      </c>
      <c r="E78" s="35">
        <v>44.2</v>
      </c>
      <c r="F78" s="34">
        <v>-69</v>
      </c>
      <c r="G78" s="34">
        <v>7</v>
      </c>
      <c r="H78" s="35">
        <v>8.4</v>
      </c>
      <c r="I78" s="35">
        <v>146.5</v>
      </c>
      <c r="J78" s="33" t="s">
        <v>48</v>
      </c>
      <c r="K78" s="16">
        <v>1</v>
      </c>
      <c r="L78" s="14" t="str">
        <f>LOOKUP(J78,Survey_Info!A:A,Survey_Info!G:G)</f>
        <v>TTAG</v>
      </c>
      <c r="M78" s="25">
        <f>LOOKUP(J78,Survey_Info!A:A,Survey_Info!D:D)</f>
        <v>3000</v>
      </c>
      <c r="N78" s="25">
        <f>LOOKUP(J78,Survey_Info!A:A, Survey_Info!J:J)</f>
        <v>300</v>
      </c>
      <c r="O78" s="25">
        <v>0</v>
      </c>
    </row>
    <row r="79" spans="1:15" ht="17.25" customHeight="1" x14ac:dyDescent="0.25">
      <c r="A79" s="33" t="s">
        <v>85</v>
      </c>
      <c r="B79" s="34">
        <v>9</v>
      </c>
      <c r="C79" s="34">
        <v>5</v>
      </c>
      <c r="D79" s="34">
        <v>36</v>
      </c>
      <c r="E79" s="35">
        <v>45.2</v>
      </c>
      <c r="F79" s="34">
        <v>-69</v>
      </c>
      <c r="G79" s="34">
        <v>7</v>
      </c>
      <c r="H79" s="35">
        <v>16.7</v>
      </c>
      <c r="I79" s="35">
        <v>146.5</v>
      </c>
      <c r="J79" s="33" t="s">
        <v>48</v>
      </c>
      <c r="K79" s="16">
        <v>1</v>
      </c>
      <c r="L79" s="14" t="str">
        <f>LOOKUP(J79,Survey_Info!A:A,Survey_Info!G:G)</f>
        <v>TTAG</v>
      </c>
      <c r="M79" s="25">
        <f>LOOKUP(J79,Survey_Info!A:A,Survey_Info!D:D)</f>
        <v>3000</v>
      </c>
      <c r="N79" s="25">
        <f>LOOKUP(J79,Survey_Info!A:A, Survey_Info!J:J)</f>
        <v>300</v>
      </c>
      <c r="O79" s="25">
        <v>0</v>
      </c>
    </row>
    <row r="80" spans="1:15" ht="17.25" customHeight="1" x14ac:dyDescent="0.25">
      <c r="A80" s="33" t="s">
        <v>85</v>
      </c>
      <c r="B80" s="34">
        <v>10</v>
      </c>
      <c r="C80" s="34">
        <v>5</v>
      </c>
      <c r="D80" s="34">
        <v>36</v>
      </c>
      <c r="E80" s="35">
        <v>46.2</v>
      </c>
      <c r="F80" s="34">
        <v>-69</v>
      </c>
      <c r="G80" s="34">
        <v>7</v>
      </c>
      <c r="H80" s="34">
        <v>25</v>
      </c>
      <c r="I80" s="35">
        <v>146.5</v>
      </c>
      <c r="J80" s="33" t="s">
        <v>48</v>
      </c>
      <c r="K80" s="16">
        <v>1</v>
      </c>
      <c r="L80" s="14" t="str">
        <f>LOOKUP(J80,Survey_Info!A:A,Survey_Info!G:G)</f>
        <v>TTAG</v>
      </c>
      <c r="M80" s="25">
        <f>LOOKUP(J80,Survey_Info!A:A,Survey_Info!D:D)</f>
        <v>3000</v>
      </c>
      <c r="N80" s="25">
        <f>LOOKUP(J80,Survey_Info!A:A, Survey_Info!J:J)</f>
        <v>300</v>
      </c>
      <c r="O80" s="25">
        <v>0</v>
      </c>
    </row>
    <row r="81" spans="1:15" ht="17.25" customHeight="1" x14ac:dyDescent="0.25">
      <c r="A81" s="33" t="s">
        <v>85</v>
      </c>
      <c r="B81" s="34">
        <v>11</v>
      </c>
      <c r="C81" s="34">
        <v>5</v>
      </c>
      <c r="D81" s="34">
        <v>36</v>
      </c>
      <c r="E81" s="35">
        <v>47.3</v>
      </c>
      <c r="F81" s="34">
        <v>-69</v>
      </c>
      <c r="G81" s="34">
        <v>7</v>
      </c>
      <c r="H81" s="35">
        <v>33.4</v>
      </c>
      <c r="I81" s="35">
        <v>146.5</v>
      </c>
      <c r="J81" s="33" t="s">
        <v>48</v>
      </c>
      <c r="K81" s="16">
        <v>1</v>
      </c>
      <c r="L81" s="14" t="str">
        <f>LOOKUP(J81,Survey_Info!A:A,Survey_Info!G:G)</f>
        <v>TTAG</v>
      </c>
      <c r="M81" s="25">
        <f>LOOKUP(J81,Survey_Info!A:A,Survey_Info!D:D)</f>
        <v>3000</v>
      </c>
      <c r="N81" s="25">
        <f>LOOKUP(J81,Survey_Info!A:A, Survey_Info!J:J)</f>
        <v>300</v>
      </c>
      <c r="O81" s="25">
        <v>0</v>
      </c>
    </row>
    <row r="82" spans="1:15" ht="17.25" customHeight="1" x14ac:dyDescent="0.25">
      <c r="A82" s="33" t="s">
        <v>85</v>
      </c>
      <c r="B82" s="34">
        <v>12</v>
      </c>
      <c r="C82" s="34">
        <v>5</v>
      </c>
      <c r="D82" s="34">
        <v>36</v>
      </c>
      <c r="E82" s="35">
        <v>48.3</v>
      </c>
      <c r="F82" s="34">
        <v>-69</v>
      </c>
      <c r="G82" s="34">
        <v>7</v>
      </c>
      <c r="H82" s="35">
        <v>41.7</v>
      </c>
      <c r="I82" s="35">
        <v>146.5</v>
      </c>
      <c r="J82" s="33" t="s">
        <v>48</v>
      </c>
      <c r="K82" s="16">
        <v>1</v>
      </c>
      <c r="L82" s="14" t="str">
        <f>LOOKUP(J82,Survey_Info!A:A,Survey_Info!G:G)</f>
        <v>TTAG</v>
      </c>
      <c r="M82" s="25">
        <f>LOOKUP(J82,Survey_Info!A:A,Survey_Info!D:D)</f>
        <v>3000</v>
      </c>
      <c r="N82" s="25">
        <f>LOOKUP(J82,Survey_Info!A:A, Survey_Info!J:J)</f>
        <v>300</v>
      </c>
      <c r="O82" s="25">
        <v>0</v>
      </c>
    </row>
    <row r="83" spans="1:15" ht="17.25" customHeight="1" x14ac:dyDescent="0.25">
      <c r="A83" s="33" t="s">
        <v>85</v>
      </c>
      <c r="B83" s="34">
        <v>13</v>
      </c>
      <c r="C83" s="34">
        <v>5</v>
      </c>
      <c r="D83" s="34">
        <v>36</v>
      </c>
      <c r="E83" s="35">
        <v>49.3</v>
      </c>
      <c r="F83" s="34">
        <v>-69</v>
      </c>
      <c r="G83" s="34">
        <v>7</v>
      </c>
      <c r="H83" s="34">
        <v>50</v>
      </c>
      <c r="I83" s="35">
        <v>146.5</v>
      </c>
      <c r="J83" s="33" t="s">
        <v>48</v>
      </c>
      <c r="K83" s="16">
        <v>1</v>
      </c>
      <c r="L83" s="14" t="str">
        <f>LOOKUP(J83,Survey_Info!A:A,Survey_Info!G:G)</f>
        <v>TTAG</v>
      </c>
      <c r="M83" s="25">
        <f>LOOKUP(J83,Survey_Info!A:A,Survey_Info!D:D)</f>
        <v>3000</v>
      </c>
      <c r="N83" s="25">
        <f>LOOKUP(J83,Survey_Info!A:A, Survey_Info!J:J)</f>
        <v>300</v>
      </c>
      <c r="O83" s="25">
        <v>0</v>
      </c>
    </row>
    <row r="84" spans="1:15" ht="17.25" customHeight="1" x14ac:dyDescent="0.25">
      <c r="A84" s="33" t="s">
        <v>85</v>
      </c>
      <c r="B84" s="34">
        <v>14</v>
      </c>
      <c r="C84" s="34">
        <v>5</v>
      </c>
      <c r="D84" s="34">
        <v>36</v>
      </c>
      <c r="E84" s="35">
        <v>50.4</v>
      </c>
      <c r="F84" s="34">
        <v>-69</v>
      </c>
      <c r="G84" s="34">
        <v>7</v>
      </c>
      <c r="H84" s="35">
        <v>58.4</v>
      </c>
      <c r="I84" s="35">
        <v>146.5</v>
      </c>
      <c r="J84" s="33" t="s">
        <v>48</v>
      </c>
      <c r="K84" s="16">
        <v>1</v>
      </c>
      <c r="L84" s="14" t="str">
        <f>LOOKUP(J84,Survey_Info!A:A,Survey_Info!G:G)</f>
        <v>TTAG</v>
      </c>
      <c r="M84" s="25">
        <f>LOOKUP(J84,Survey_Info!A:A,Survey_Info!D:D)</f>
        <v>3000</v>
      </c>
      <c r="N84" s="25">
        <f>LOOKUP(J84,Survey_Info!A:A, Survey_Info!J:J)</f>
        <v>300</v>
      </c>
      <c r="O84" s="25">
        <v>0</v>
      </c>
    </row>
    <row r="85" spans="1:15" ht="17.25" customHeight="1" x14ac:dyDescent="0.25">
      <c r="A85" s="33" t="s">
        <v>85</v>
      </c>
      <c r="B85" s="34">
        <v>15</v>
      </c>
      <c r="C85" s="34">
        <v>5</v>
      </c>
      <c r="D85" s="34">
        <v>36</v>
      </c>
      <c r="E85" s="35">
        <v>51.4</v>
      </c>
      <c r="F85" s="34">
        <v>-69</v>
      </c>
      <c r="G85" s="34">
        <v>8</v>
      </c>
      <c r="H85" s="35">
        <v>6.7</v>
      </c>
      <c r="I85" s="35">
        <v>146.5</v>
      </c>
      <c r="J85" s="33" t="s">
        <v>48</v>
      </c>
      <c r="K85" s="16">
        <v>1</v>
      </c>
      <c r="L85" s="14" t="str">
        <f>LOOKUP(J85,Survey_Info!A:A,Survey_Info!G:G)</f>
        <v>TTAG</v>
      </c>
      <c r="M85" s="25">
        <f>LOOKUP(J85,Survey_Info!A:A,Survey_Info!D:D)</f>
        <v>3000</v>
      </c>
      <c r="N85" s="25">
        <f>LOOKUP(J85,Survey_Info!A:A, Survey_Info!J:J)</f>
        <v>300</v>
      </c>
      <c r="O85" s="25">
        <v>0</v>
      </c>
    </row>
    <row r="86" spans="1:15" ht="17.25" customHeight="1" x14ac:dyDescent="0.25">
      <c r="A86" s="33" t="s">
        <v>85</v>
      </c>
      <c r="B86" s="34">
        <v>16</v>
      </c>
      <c r="C86" s="34">
        <v>5</v>
      </c>
      <c r="D86" s="34">
        <v>36</v>
      </c>
      <c r="E86" s="35">
        <v>52.4</v>
      </c>
      <c r="F86" s="34">
        <v>-69</v>
      </c>
      <c r="G86" s="34">
        <v>8</v>
      </c>
      <c r="H86" s="34">
        <v>15</v>
      </c>
      <c r="I86" s="35">
        <v>146.5</v>
      </c>
      <c r="J86" s="33" t="s">
        <v>48</v>
      </c>
      <c r="K86" s="16">
        <v>1</v>
      </c>
      <c r="L86" s="14" t="str">
        <f>LOOKUP(J86,Survey_Info!A:A,Survey_Info!G:G)</f>
        <v>TTAG</v>
      </c>
      <c r="M86" s="25">
        <f>LOOKUP(J86,Survey_Info!A:A,Survey_Info!D:D)</f>
        <v>3000</v>
      </c>
      <c r="N86" s="25">
        <f>LOOKUP(J86,Survey_Info!A:A, Survey_Info!J:J)</f>
        <v>300</v>
      </c>
      <c r="O86" s="25">
        <v>0</v>
      </c>
    </row>
    <row r="87" spans="1:15" ht="17.25" customHeight="1" x14ac:dyDescent="0.25">
      <c r="A87" s="33" t="s">
        <v>85</v>
      </c>
      <c r="B87" s="34">
        <v>17</v>
      </c>
      <c r="C87" s="34">
        <v>5</v>
      </c>
      <c r="D87" s="34">
        <v>36</v>
      </c>
      <c r="E87" s="35">
        <v>53.5</v>
      </c>
      <c r="F87" s="34">
        <v>-69</v>
      </c>
      <c r="G87" s="34">
        <v>8</v>
      </c>
      <c r="H87" s="35">
        <v>23.4</v>
      </c>
      <c r="I87" s="35">
        <v>146.5</v>
      </c>
      <c r="J87" s="33" t="s">
        <v>48</v>
      </c>
      <c r="K87" s="16">
        <v>1</v>
      </c>
      <c r="L87" s="14" t="str">
        <f>LOOKUP(J87,Survey_Info!A:A,Survey_Info!G:G)</f>
        <v>TTAG</v>
      </c>
      <c r="M87" s="25">
        <f>LOOKUP(J87,Survey_Info!A:A,Survey_Info!D:D)</f>
        <v>3000</v>
      </c>
      <c r="N87" s="25">
        <f>LOOKUP(J87,Survey_Info!A:A, Survey_Info!J:J)</f>
        <v>300</v>
      </c>
      <c r="O87" s="25">
        <v>0</v>
      </c>
    </row>
    <row r="88" spans="1:15" ht="17.25" customHeight="1" x14ac:dyDescent="0.25">
      <c r="A88" s="33" t="s">
        <v>85</v>
      </c>
      <c r="B88" s="34">
        <v>18</v>
      </c>
      <c r="C88" s="34">
        <v>5</v>
      </c>
      <c r="D88" s="34">
        <v>36</v>
      </c>
      <c r="E88" s="35">
        <v>54.5</v>
      </c>
      <c r="F88" s="34">
        <v>-69</v>
      </c>
      <c r="G88" s="34">
        <v>8</v>
      </c>
      <c r="H88" s="35">
        <v>31.7</v>
      </c>
      <c r="I88" s="35">
        <v>146.5</v>
      </c>
      <c r="J88" s="33" t="s">
        <v>48</v>
      </c>
      <c r="K88" s="16">
        <v>1</v>
      </c>
      <c r="L88" s="14" t="str">
        <f>LOOKUP(J88,Survey_Info!A:A,Survey_Info!G:G)</f>
        <v>TTAG</v>
      </c>
      <c r="M88" s="25">
        <f>LOOKUP(J88,Survey_Info!A:A,Survey_Info!D:D)</f>
        <v>3000</v>
      </c>
      <c r="N88" s="25">
        <f>LOOKUP(J88,Survey_Info!A:A, Survey_Info!J:J)</f>
        <v>300</v>
      </c>
      <c r="O88" s="25">
        <v>0</v>
      </c>
    </row>
    <row r="89" spans="1:15" ht="17.25" customHeight="1" x14ac:dyDescent="0.25">
      <c r="A89" s="33" t="s">
        <v>85</v>
      </c>
      <c r="B89" s="34">
        <v>19</v>
      </c>
      <c r="C89" s="34">
        <v>5</v>
      </c>
      <c r="D89" s="34">
        <v>36</v>
      </c>
      <c r="E89" s="35">
        <v>55.6</v>
      </c>
      <c r="F89" s="34">
        <v>-69</v>
      </c>
      <c r="G89" s="34">
        <v>8</v>
      </c>
      <c r="H89" s="34">
        <v>40</v>
      </c>
      <c r="I89" s="35">
        <v>146.5</v>
      </c>
      <c r="J89" s="33" t="s">
        <v>48</v>
      </c>
      <c r="K89" s="16">
        <v>1</v>
      </c>
      <c r="L89" s="14" t="str">
        <f>LOOKUP(J89,Survey_Info!A:A,Survey_Info!G:G)</f>
        <v>TTAG</v>
      </c>
      <c r="M89" s="25">
        <f>LOOKUP(J89,Survey_Info!A:A,Survey_Info!D:D)</f>
        <v>3000</v>
      </c>
      <c r="N89" s="25">
        <f>LOOKUP(J89,Survey_Info!A:A, Survey_Info!J:J)</f>
        <v>300</v>
      </c>
      <c r="O89" s="25">
        <v>0</v>
      </c>
    </row>
    <row r="90" spans="1:15" ht="17.25" customHeight="1" x14ac:dyDescent="0.25">
      <c r="A90" s="33" t="s">
        <v>85</v>
      </c>
      <c r="B90" s="34">
        <v>20</v>
      </c>
      <c r="C90" s="34">
        <v>5</v>
      </c>
      <c r="D90" s="34">
        <v>36</v>
      </c>
      <c r="E90" s="35">
        <v>56.6</v>
      </c>
      <c r="F90" s="34">
        <v>-69</v>
      </c>
      <c r="G90" s="34">
        <v>8</v>
      </c>
      <c r="H90" s="35">
        <v>48.4</v>
      </c>
      <c r="I90" s="35">
        <v>146.5</v>
      </c>
      <c r="J90" s="33" t="s">
        <v>48</v>
      </c>
      <c r="K90" s="16">
        <v>1</v>
      </c>
      <c r="L90" s="14" t="str">
        <f>LOOKUP(J90,Survey_Info!A:A,Survey_Info!G:G)</f>
        <v>TTAG</v>
      </c>
      <c r="M90" s="25">
        <f>LOOKUP(J90,Survey_Info!A:A,Survey_Info!D:D)</f>
        <v>3000</v>
      </c>
      <c r="N90" s="25">
        <f>LOOKUP(J90,Survey_Info!A:A, Survey_Info!J:J)</f>
        <v>300</v>
      </c>
      <c r="O90" s="25">
        <v>0</v>
      </c>
    </row>
    <row r="91" spans="1:15" ht="17.25" customHeight="1" x14ac:dyDescent="0.25">
      <c r="A91" s="33" t="s">
        <v>85</v>
      </c>
      <c r="B91" s="34">
        <v>21</v>
      </c>
      <c r="C91" s="34">
        <v>5</v>
      </c>
      <c r="D91" s="34">
        <v>36</v>
      </c>
      <c r="E91" s="35">
        <v>57.6</v>
      </c>
      <c r="F91" s="34">
        <v>-69</v>
      </c>
      <c r="G91" s="34">
        <v>8</v>
      </c>
      <c r="H91" s="35">
        <v>56.7</v>
      </c>
      <c r="I91" s="35">
        <v>146.5</v>
      </c>
      <c r="J91" s="33" t="s">
        <v>48</v>
      </c>
      <c r="K91" s="16">
        <v>1</v>
      </c>
      <c r="L91" s="14" t="str">
        <f>LOOKUP(J91,Survey_Info!A:A,Survey_Info!G:G)</f>
        <v>TTAG</v>
      </c>
      <c r="M91" s="25">
        <f>LOOKUP(J91,Survey_Info!A:A,Survey_Info!D:D)</f>
        <v>3000</v>
      </c>
      <c r="N91" s="25">
        <f>LOOKUP(J91,Survey_Info!A:A, Survey_Info!J:J)</f>
        <v>300</v>
      </c>
      <c r="O91" s="25">
        <v>0</v>
      </c>
    </row>
    <row r="92" spans="1:15" ht="17.25" customHeight="1" x14ac:dyDescent="0.25">
      <c r="A92" s="33" t="s">
        <v>85</v>
      </c>
      <c r="B92" s="34">
        <v>22</v>
      </c>
      <c r="C92" s="34">
        <v>5</v>
      </c>
      <c r="D92" s="34">
        <v>36</v>
      </c>
      <c r="E92" s="35">
        <v>58.7</v>
      </c>
      <c r="F92" s="34">
        <v>-69</v>
      </c>
      <c r="G92" s="34">
        <v>9</v>
      </c>
      <c r="H92" s="35">
        <v>5.0999999999999996</v>
      </c>
      <c r="I92" s="35">
        <v>146.5</v>
      </c>
      <c r="J92" s="33" t="s">
        <v>48</v>
      </c>
      <c r="K92" s="16">
        <v>1</v>
      </c>
      <c r="L92" s="14" t="str">
        <f>LOOKUP(J92,Survey_Info!A:A,Survey_Info!G:G)</f>
        <v>TTAG</v>
      </c>
      <c r="M92" s="25">
        <f>LOOKUP(J92,Survey_Info!A:A,Survey_Info!D:D)</f>
        <v>3000</v>
      </c>
      <c r="N92" s="25">
        <f>LOOKUP(J92,Survey_Info!A:A, Survey_Info!J:J)</f>
        <v>300</v>
      </c>
      <c r="O92" s="25">
        <v>0</v>
      </c>
    </row>
    <row r="93" spans="1:15" ht="17.25" customHeight="1" x14ac:dyDescent="0.25">
      <c r="A93" s="33" t="s">
        <v>85</v>
      </c>
      <c r="B93" s="34">
        <v>23</v>
      </c>
      <c r="C93" s="34">
        <v>5</v>
      </c>
      <c r="D93" s="34">
        <v>37</v>
      </c>
      <c r="E93" s="35">
        <v>59.7</v>
      </c>
      <c r="F93" s="34">
        <v>-69</v>
      </c>
      <c r="G93" s="34">
        <v>9</v>
      </c>
      <c r="H93" s="35">
        <v>13.4</v>
      </c>
      <c r="I93" s="35">
        <v>146.5</v>
      </c>
      <c r="J93" s="33" t="s">
        <v>48</v>
      </c>
      <c r="K93" s="16">
        <v>1</v>
      </c>
      <c r="L93" s="14" t="str">
        <f>LOOKUP(J93,Survey_Info!A:A,Survey_Info!G:G)</f>
        <v>TTAG</v>
      </c>
      <c r="M93" s="25">
        <f>LOOKUP(J93,Survey_Info!A:A,Survey_Info!D:D)</f>
        <v>3000</v>
      </c>
      <c r="N93" s="25">
        <f>LOOKUP(J93,Survey_Info!A:A, Survey_Info!J:J)</f>
        <v>300</v>
      </c>
      <c r="O93" s="25">
        <v>0</v>
      </c>
    </row>
    <row r="94" spans="1:15" ht="17.25" customHeight="1" x14ac:dyDescent="0.25">
      <c r="A94" s="33" t="s">
        <v>85</v>
      </c>
      <c r="B94" s="34">
        <v>24</v>
      </c>
      <c r="C94" s="34">
        <v>5</v>
      </c>
      <c r="D94" s="34">
        <v>37</v>
      </c>
      <c r="E94" s="35">
        <v>0.7</v>
      </c>
      <c r="F94" s="34">
        <v>-69</v>
      </c>
      <c r="G94" s="34">
        <v>9</v>
      </c>
      <c r="H94" s="35">
        <v>21.7</v>
      </c>
      <c r="I94" s="35">
        <v>146.5</v>
      </c>
      <c r="J94" s="33" t="s">
        <v>48</v>
      </c>
      <c r="K94" s="16">
        <v>1</v>
      </c>
      <c r="L94" s="14" t="str">
        <f>LOOKUP(J94,Survey_Info!A:A,Survey_Info!G:G)</f>
        <v>TTAG</v>
      </c>
      <c r="M94" s="25">
        <f>LOOKUP(J94,Survey_Info!A:A,Survey_Info!D:D)</f>
        <v>3000</v>
      </c>
      <c r="N94" s="25">
        <f>LOOKUP(J94,Survey_Info!A:A, Survey_Info!J:J)</f>
        <v>300</v>
      </c>
      <c r="O94" s="25">
        <v>0</v>
      </c>
    </row>
    <row r="95" spans="1:15" ht="17.25" customHeight="1" x14ac:dyDescent="0.25">
      <c r="A95" s="33" t="s">
        <v>85</v>
      </c>
      <c r="B95" s="34">
        <v>25</v>
      </c>
      <c r="C95" s="34">
        <v>5</v>
      </c>
      <c r="D95" s="34">
        <v>37</v>
      </c>
      <c r="E95" s="35">
        <v>1.8</v>
      </c>
      <c r="F95" s="34">
        <v>-69</v>
      </c>
      <c r="G95" s="34">
        <v>9</v>
      </c>
      <c r="H95" s="35">
        <v>30.1</v>
      </c>
      <c r="I95" s="35">
        <v>146.5</v>
      </c>
      <c r="J95" s="33" t="s">
        <v>48</v>
      </c>
      <c r="K95" s="16">
        <v>1</v>
      </c>
      <c r="L95" s="14" t="str">
        <f>LOOKUP(J95,Survey_Info!A:A,Survey_Info!G:G)</f>
        <v>TTAG</v>
      </c>
      <c r="M95" s="25">
        <f>LOOKUP(J95,Survey_Info!A:A,Survey_Info!D:D)</f>
        <v>3000</v>
      </c>
      <c r="N95" s="25">
        <f>LOOKUP(J95,Survey_Info!A:A, Survey_Info!J:J)</f>
        <v>300</v>
      </c>
      <c r="O95" s="25">
        <v>0</v>
      </c>
    </row>
    <row r="96" spans="1:15" ht="17.25" customHeight="1" x14ac:dyDescent="0.25">
      <c r="A96" s="33" t="s">
        <v>85</v>
      </c>
      <c r="B96" s="34">
        <v>26</v>
      </c>
      <c r="C96" s="34">
        <v>5</v>
      </c>
      <c r="D96" s="34">
        <v>37</v>
      </c>
      <c r="E96" s="35">
        <v>2.8</v>
      </c>
      <c r="F96" s="34">
        <v>-69</v>
      </c>
      <c r="G96" s="34">
        <v>9</v>
      </c>
      <c r="H96" s="35">
        <v>38.4</v>
      </c>
      <c r="I96" s="35">
        <v>146.5</v>
      </c>
      <c r="J96" s="33" t="s">
        <v>48</v>
      </c>
      <c r="K96" s="16">
        <v>1</v>
      </c>
      <c r="L96" s="14" t="str">
        <f>LOOKUP(J96,Survey_Info!A:A,Survey_Info!G:G)</f>
        <v>TTAG</v>
      </c>
      <c r="M96" s="25">
        <f>LOOKUP(J96,Survey_Info!A:A,Survey_Info!D:D)</f>
        <v>3000</v>
      </c>
      <c r="N96" s="25">
        <f>LOOKUP(J96,Survey_Info!A:A, Survey_Info!J:J)</f>
        <v>300</v>
      </c>
      <c r="O96" s="25">
        <v>0</v>
      </c>
    </row>
    <row r="97" spans="1:15" ht="17.25" customHeight="1" x14ac:dyDescent="0.25">
      <c r="A97" s="33" t="s">
        <v>85</v>
      </c>
      <c r="B97" s="34">
        <v>27</v>
      </c>
      <c r="C97" s="34">
        <v>5</v>
      </c>
      <c r="D97" s="34">
        <v>37</v>
      </c>
      <c r="E97" s="35">
        <v>3.8</v>
      </c>
      <c r="F97" s="34">
        <v>-69</v>
      </c>
      <c r="G97" s="34">
        <v>9</v>
      </c>
      <c r="H97" s="35">
        <v>46.7</v>
      </c>
      <c r="I97" s="35">
        <v>146.5</v>
      </c>
      <c r="J97" s="33" t="s">
        <v>48</v>
      </c>
      <c r="K97" s="16">
        <v>1</v>
      </c>
      <c r="L97" s="14" t="str">
        <f>LOOKUP(J97,Survey_Info!A:A,Survey_Info!G:G)</f>
        <v>TTAG</v>
      </c>
      <c r="M97" s="25">
        <f>LOOKUP(J97,Survey_Info!A:A,Survey_Info!D:D)</f>
        <v>3000</v>
      </c>
      <c r="N97" s="25">
        <f>LOOKUP(J97,Survey_Info!A:A, Survey_Info!J:J)</f>
        <v>300</v>
      </c>
      <c r="O97" s="25">
        <v>0</v>
      </c>
    </row>
    <row r="98" spans="1:15" ht="17.25" customHeight="1" x14ac:dyDescent="0.25">
      <c r="A98" s="33" t="s">
        <v>85</v>
      </c>
      <c r="B98" s="34">
        <v>28</v>
      </c>
      <c r="C98" s="34">
        <v>5</v>
      </c>
      <c r="D98" s="34">
        <v>37</v>
      </c>
      <c r="E98" s="35">
        <v>4.9000000000000004</v>
      </c>
      <c r="F98" s="34">
        <v>-69</v>
      </c>
      <c r="G98" s="34">
        <v>9</v>
      </c>
      <c r="H98" s="35">
        <v>55.1</v>
      </c>
      <c r="I98" s="35">
        <v>146.5</v>
      </c>
      <c r="J98" s="33" t="s">
        <v>48</v>
      </c>
      <c r="K98" s="16">
        <v>1</v>
      </c>
      <c r="L98" s="14" t="str">
        <f>LOOKUP(J98,Survey_Info!A:A,Survey_Info!G:G)</f>
        <v>TTAG</v>
      </c>
      <c r="M98" s="25">
        <f>LOOKUP(J98,Survey_Info!A:A,Survey_Info!D:D)</f>
        <v>3000</v>
      </c>
      <c r="N98" s="25">
        <f>LOOKUP(J98,Survey_Info!A:A, Survey_Info!J:J)</f>
        <v>300</v>
      </c>
      <c r="O98" s="25">
        <v>0</v>
      </c>
    </row>
    <row r="99" spans="1:15" ht="17.25" customHeight="1" x14ac:dyDescent="0.25">
      <c r="A99" s="33" t="s">
        <v>85</v>
      </c>
      <c r="B99" s="34">
        <v>29</v>
      </c>
      <c r="C99" s="34">
        <v>5</v>
      </c>
      <c r="D99" s="34">
        <v>37</v>
      </c>
      <c r="E99" s="35">
        <v>5.9</v>
      </c>
      <c r="F99" s="34">
        <v>-69</v>
      </c>
      <c r="G99" s="34">
        <v>10</v>
      </c>
      <c r="H99" s="35">
        <v>3.4</v>
      </c>
      <c r="I99" s="35">
        <v>146.5</v>
      </c>
      <c r="J99" s="33" t="s">
        <v>48</v>
      </c>
      <c r="K99" s="16">
        <v>1</v>
      </c>
      <c r="L99" s="14" t="str">
        <f>LOOKUP(J99,Survey_Info!A:A,Survey_Info!G:G)</f>
        <v>TTAG</v>
      </c>
      <c r="M99" s="25">
        <f>LOOKUP(J99,Survey_Info!A:A,Survey_Info!D:D)</f>
        <v>3000</v>
      </c>
      <c r="N99" s="25">
        <f>LOOKUP(J99,Survey_Info!A:A, Survey_Info!J:J)</f>
        <v>300</v>
      </c>
      <c r="O99" s="25">
        <v>0</v>
      </c>
    </row>
    <row r="100" spans="1:15" ht="17.25" customHeight="1" x14ac:dyDescent="0.25">
      <c r="A100" s="33" t="s">
        <v>85</v>
      </c>
      <c r="B100" s="34">
        <v>30</v>
      </c>
      <c r="C100" s="34">
        <v>5</v>
      </c>
      <c r="D100" s="34">
        <v>37</v>
      </c>
      <c r="E100" s="35">
        <v>6.9</v>
      </c>
      <c r="F100" s="34">
        <v>-69</v>
      </c>
      <c r="G100" s="34">
        <v>10</v>
      </c>
      <c r="H100" s="35">
        <v>11.7</v>
      </c>
      <c r="I100" s="35">
        <v>146.5</v>
      </c>
      <c r="J100" s="33" t="s">
        <v>48</v>
      </c>
      <c r="K100" s="16">
        <v>1</v>
      </c>
      <c r="L100" s="14" t="str">
        <f>LOOKUP(J100,Survey_Info!A:A,Survey_Info!G:G)</f>
        <v>TTAG</v>
      </c>
      <c r="M100" s="25">
        <f>LOOKUP(J100,Survey_Info!A:A,Survey_Info!D:D)</f>
        <v>3000</v>
      </c>
      <c r="N100" s="25">
        <f>LOOKUP(J100,Survey_Info!A:A, Survey_Info!J:J)</f>
        <v>300</v>
      </c>
      <c r="O100" s="25">
        <v>0</v>
      </c>
    </row>
    <row r="101" spans="1:15" ht="17.25" customHeight="1" x14ac:dyDescent="0.25">
      <c r="A101" s="33" t="s">
        <v>85</v>
      </c>
      <c r="B101" s="34">
        <v>31</v>
      </c>
      <c r="C101" s="34">
        <v>5</v>
      </c>
      <c r="D101" s="34">
        <v>37</v>
      </c>
      <c r="E101" s="34">
        <v>8</v>
      </c>
      <c r="F101" s="34">
        <v>-69</v>
      </c>
      <c r="G101" s="34">
        <v>10</v>
      </c>
      <c r="H101" s="35">
        <v>20.100000000000001</v>
      </c>
      <c r="I101" s="35">
        <v>146.5</v>
      </c>
      <c r="J101" s="33" t="s">
        <v>48</v>
      </c>
      <c r="K101" s="16">
        <v>1</v>
      </c>
      <c r="L101" s="14" t="str">
        <f>LOOKUP(J101,Survey_Info!A:A,Survey_Info!G:G)</f>
        <v>TTAG</v>
      </c>
      <c r="M101" s="25">
        <f>LOOKUP(J101,Survey_Info!A:A,Survey_Info!D:D)</f>
        <v>3000</v>
      </c>
      <c r="N101" s="25">
        <f>LOOKUP(J101,Survey_Info!A:A, Survey_Info!J:J)</f>
        <v>300</v>
      </c>
      <c r="O101" s="25">
        <v>0</v>
      </c>
    </row>
    <row r="102" spans="1:15" ht="17.25" customHeight="1" x14ac:dyDescent="0.25">
      <c r="A102" s="33" t="s">
        <v>85</v>
      </c>
      <c r="B102" s="34">
        <v>32</v>
      </c>
      <c r="C102" s="34">
        <v>5</v>
      </c>
      <c r="D102" s="34">
        <v>37</v>
      </c>
      <c r="E102" s="34">
        <v>9</v>
      </c>
      <c r="F102" s="34">
        <v>-69</v>
      </c>
      <c r="G102" s="34">
        <v>10</v>
      </c>
      <c r="H102" s="35">
        <v>28.4</v>
      </c>
      <c r="I102" s="35">
        <v>146.5</v>
      </c>
      <c r="J102" s="33" t="s">
        <v>48</v>
      </c>
      <c r="K102" s="16">
        <v>1</v>
      </c>
      <c r="L102" s="14" t="str">
        <f>LOOKUP(J102,Survey_Info!A:A,Survey_Info!G:G)</f>
        <v>TTAG</v>
      </c>
      <c r="M102" s="25">
        <f>LOOKUP(J102,Survey_Info!A:A,Survey_Info!D:D)</f>
        <v>3000</v>
      </c>
      <c r="N102" s="25">
        <f>LOOKUP(J102,Survey_Info!A:A, Survey_Info!J:J)</f>
        <v>300</v>
      </c>
      <c r="O102" s="25">
        <v>0</v>
      </c>
    </row>
    <row r="103" spans="1:15" ht="17.25" customHeight="1" x14ac:dyDescent="0.25">
      <c r="A103" s="33" t="s">
        <v>85</v>
      </c>
      <c r="B103" s="34">
        <v>33</v>
      </c>
      <c r="C103" s="34">
        <v>5</v>
      </c>
      <c r="D103" s="34">
        <v>37</v>
      </c>
      <c r="E103" s="34">
        <v>10</v>
      </c>
      <c r="F103" s="34">
        <v>-69</v>
      </c>
      <c r="G103" s="34">
        <v>10</v>
      </c>
      <c r="H103" s="35">
        <v>36.799999999999997</v>
      </c>
      <c r="I103" s="35">
        <v>146.5</v>
      </c>
      <c r="J103" s="33" t="s">
        <v>48</v>
      </c>
      <c r="K103" s="16">
        <v>1</v>
      </c>
      <c r="L103" s="14" t="str">
        <f>LOOKUP(J103,Survey_Info!A:A,Survey_Info!G:G)</f>
        <v>TTAG</v>
      </c>
      <c r="M103" s="25">
        <f>LOOKUP(J103,Survey_Info!A:A,Survey_Info!D:D)</f>
        <v>3000</v>
      </c>
      <c r="N103" s="25">
        <f>LOOKUP(J103,Survey_Info!A:A, Survey_Info!J:J)</f>
        <v>300</v>
      </c>
      <c r="O103" s="25">
        <v>0</v>
      </c>
    </row>
    <row r="104" spans="1:15" ht="17.25" customHeight="1" x14ac:dyDescent="0.25">
      <c r="A104" s="33" t="s">
        <v>85</v>
      </c>
      <c r="B104" s="34">
        <v>34</v>
      </c>
      <c r="C104" s="34">
        <v>5</v>
      </c>
      <c r="D104" s="34">
        <v>37</v>
      </c>
      <c r="E104" s="35">
        <v>11.1</v>
      </c>
      <c r="F104" s="34">
        <v>-69</v>
      </c>
      <c r="G104" s="34">
        <v>10</v>
      </c>
      <c r="H104" s="35">
        <v>45.1</v>
      </c>
      <c r="I104" s="35">
        <v>146.5</v>
      </c>
      <c r="J104" s="33" t="s">
        <v>48</v>
      </c>
      <c r="K104" s="16">
        <v>1</v>
      </c>
      <c r="L104" s="14" t="str">
        <f>LOOKUP(J104,Survey_Info!A:A,Survey_Info!G:G)</f>
        <v>TTAG</v>
      </c>
      <c r="M104" s="25">
        <f>LOOKUP(J104,Survey_Info!A:A,Survey_Info!D:D)</f>
        <v>3000</v>
      </c>
      <c r="N104" s="25">
        <f>LOOKUP(J104,Survey_Info!A:A, Survey_Info!J:J)</f>
        <v>300</v>
      </c>
      <c r="O104" s="25">
        <v>0</v>
      </c>
    </row>
    <row r="105" spans="1:15" ht="17.25" customHeight="1" x14ac:dyDescent="0.25">
      <c r="A105" s="33" t="s">
        <v>85</v>
      </c>
      <c r="B105" s="34">
        <v>35</v>
      </c>
      <c r="C105" s="34">
        <v>5</v>
      </c>
      <c r="D105" s="34">
        <v>37</v>
      </c>
      <c r="E105" s="35">
        <v>12.1</v>
      </c>
      <c r="F105" s="34">
        <v>-69</v>
      </c>
      <c r="G105" s="34">
        <v>10</v>
      </c>
      <c r="H105" s="35">
        <v>53.4</v>
      </c>
      <c r="I105" s="35">
        <v>146.5</v>
      </c>
      <c r="J105" s="33" t="s">
        <v>48</v>
      </c>
      <c r="K105" s="16">
        <v>1</v>
      </c>
      <c r="L105" s="14" t="str">
        <f>LOOKUP(J105,Survey_Info!A:A,Survey_Info!G:G)</f>
        <v>TTAG</v>
      </c>
      <c r="M105" s="25">
        <f>LOOKUP(J105,Survey_Info!A:A,Survey_Info!D:D)</f>
        <v>3000</v>
      </c>
      <c r="N105" s="25">
        <f>LOOKUP(J105,Survey_Info!A:A, Survey_Info!J:J)</f>
        <v>300</v>
      </c>
      <c r="O105" s="25">
        <v>0</v>
      </c>
    </row>
    <row r="106" spans="1:15" ht="17.25" customHeight="1" x14ac:dyDescent="0.25">
      <c r="A106" s="33" t="s">
        <v>85</v>
      </c>
      <c r="B106" s="34">
        <v>36</v>
      </c>
      <c r="C106" s="34">
        <v>5</v>
      </c>
      <c r="D106" s="34">
        <v>37</v>
      </c>
      <c r="E106" s="35">
        <v>13.1</v>
      </c>
      <c r="F106" s="34">
        <v>-69</v>
      </c>
      <c r="G106" s="34">
        <v>11</v>
      </c>
      <c r="H106" s="35">
        <v>1.8</v>
      </c>
      <c r="I106" s="35">
        <v>146.5</v>
      </c>
      <c r="J106" s="33" t="s">
        <v>48</v>
      </c>
      <c r="K106" s="16">
        <v>1</v>
      </c>
      <c r="L106" s="14" t="str">
        <f>LOOKUP(J106,Survey_Info!A:A,Survey_Info!G:G)</f>
        <v>TTAG</v>
      </c>
      <c r="M106" s="25">
        <f>LOOKUP(J106,Survey_Info!A:A,Survey_Info!D:D)</f>
        <v>3000</v>
      </c>
      <c r="N106" s="25">
        <f>LOOKUP(J106,Survey_Info!A:A, Survey_Info!J:J)</f>
        <v>300</v>
      </c>
      <c r="O106" s="25">
        <v>0</v>
      </c>
    </row>
    <row r="107" spans="1:15" ht="17.25" customHeight="1" x14ac:dyDescent="0.25">
      <c r="A107" s="33" t="s">
        <v>85</v>
      </c>
      <c r="B107" s="34">
        <v>37</v>
      </c>
      <c r="C107" s="34">
        <v>5</v>
      </c>
      <c r="D107" s="34">
        <v>37</v>
      </c>
      <c r="E107" s="35">
        <v>14.2</v>
      </c>
      <c r="F107" s="34">
        <v>-69</v>
      </c>
      <c r="G107" s="34">
        <v>11</v>
      </c>
      <c r="H107" s="35">
        <v>10.1</v>
      </c>
      <c r="I107" s="35">
        <v>146.5</v>
      </c>
      <c r="J107" s="33" t="s">
        <v>48</v>
      </c>
      <c r="K107" s="16">
        <v>1</v>
      </c>
      <c r="L107" s="14" t="str">
        <f>LOOKUP(J107,Survey_Info!A:A,Survey_Info!G:G)</f>
        <v>TTAG</v>
      </c>
      <c r="M107" s="25">
        <f>LOOKUP(J107,Survey_Info!A:A,Survey_Info!D:D)</f>
        <v>3000</v>
      </c>
      <c r="N107" s="25">
        <f>LOOKUP(J107,Survey_Info!A:A, Survey_Info!J:J)</f>
        <v>300</v>
      </c>
      <c r="O107" s="25">
        <v>0</v>
      </c>
    </row>
    <row r="108" spans="1:15" ht="17.25" customHeight="1" x14ac:dyDescent="0.25">
      <c r="A108" s="33" t="s">
        <v>85</v>
      </c>
      <c r="B108" s="34">
        <v>38</v>
      </c>
      <c r="C108" s="34">
        <v>5</v>
      </c>
      <c r="D108" s="34">
        <v>37</v>
      </c>
      <c r="E108" s="35">
        <v>15.2</v>
      </c>
      <c r="F108" s="34">
        <v>-69</v>
      </c>
      <c r="G108" s="34">
        <v>11</v>
      </c>
      <c r="H108" s="35">
        <v>18.399999999999999</v>
      </c>
      <c r="I108" s="35">
        <v>146.5</v>
      </c>
      <c r="J108" s="33" t="s">
        <v>48</v>
      </c>
      <c r="K108" s="16">
        <v>1</v>
      </c>
      <c r="L108" s="14" t="str">
        <f>LOOKUP(J108,Survey_Info!A:A,Survey_Info!G:G)</f>
        <v>TTAG</v>
      </c>
      <c r="M108" s="25">
        <f>LOOKUP(J108,Survey_Info!A:A,Survey_Info!D:D)</f>
        <v>3000</v>
      </c>
      <c r="N108" s="25">
        <f>LOOKUP(J108,Survey_Info!A:A, Survey_Info!J:J)</f>
        <v>300</v>
      </c>
      <c r="O108" s="25">
        <v>0</v>
      </c>
    </row>
    <row r="109" spans="1:15" ht="17.25" customHeight="1" x14ac:dyDescent="0.25">
      <c r="A109" s="33" t="s">
        <v>85</v>
      </c>
      <c r="B109" s="34">
        <v>39</v>
      </c>
      <c r="C109" s="34">
        <v>5</v>
      </c>
      <c r="D109" s="34">
        <v>37</v>
      </c>
      <c r="E109" s="35">
        <v>16.3</v>
      </c>
      <c r="F109" s="34">
        <v>-69</v>
      </c>
      <c r="G109" s="34">
        <v>11</v>
      </c>
      <c r="H109" s="35">
        <v>26.8</v>
      </c>
      <c r="I109" s="35">
        <v>146.5</v>
      </c>
      <c r="J109" s="33" t="s">
        <v>48</v>
      </c>
      <c r="K109" s="16">
        <v>1</v>
      </c>
      <c r="L109" s="14" t="str">
        <f>LOOKUP(J109,Survey_Info!A:A,Survey_Info!G:G)</f>
        <v>TTAG</v>
      </c>
      <c r="M109" s="25">
        <f>LOOKUP(J109,Survey_Info!A:A,Survey_Info!D:D)</f>
        <v>3000</v>
      </c>
      <c r="N109" s="25">
        <f>LOOKUP(J109,Survey_Info!A:A, Survey_Info!J:J)</f>
        <v>300</v>
      </c>
      <c r="O109" s="25">
        <v>0</v>
      </c>
    </row>
    <row r="110" spans="1:15" ht="17.25" customHeight="1" x14ac:dyDescent="0.25">
      <c r="A110" s="33" t="s">
        <v>85</v>
      </c>
      <c r="B110" s="34">
        <v>40</v>
      </c>
      <c r="C110" s="34">
        <v>5</v>
      </c>
      <c r="D110" s="34">
        <v>37</v>
      </c>
      <c r="E110" s="35">
        <v>17.3</v>
      </c>
      <c r="F110" s="34">
        <v>-69</v>
      </c>
      <c r="G110" s="34">
        <v>11</v>
      </c>
      <c r="H110" s="35">
        <v>35.1</v>
      </c>
      <c r="I110" s="35">
        <v>146.5</v>
      </c>
      <c r="J110" s="33" t="s">
        <v>48</v>
      </c>
      <c r="K110" s="16">
        <v>1</v>
      </c>
      <c r="L110" s="14" t="str">
        <f>LOOKUP(J110,Survey_Info!A:A,Survey_Info!G:G)</f>
        <v>TTAG</v>
      </c>
      <c r="M110" s="25">
        <f>LOOKUP(J110,Survey_Info!A:A,Survey_Info!D:D)</f>
        <v>3000</v>
      </c>
      <c r="N110" s="25">
        <f>LOOKUP(J110,Survey_Info!A:A, Survey_Info!J:J)</f>
        <v>300</v>
      </c>
      <c r="O110" s="25">
        <v>0</v>
      </c>
    </row>
    <row r="111" spans="1:15" ht="17.25" customHeight="1" x14ac:dyDescent="0.25">
      <c r="A111" s="33" t="s">
        <v>85</v>
      </c>
      <c r="B111" s="34">
        <v>41</v>
      </c>
      <c r="C111" s="34">
        <v>5</v>
      </c>
      <c r="D111" s="34">
        <v>37</v>
      </c>
      <c r="E111" s="35">
        <v>18.3</v>
      </c>
      <c r="F111" s="34">
        <v>-69</v>
      </c>
      <c r="G111" s="34">
        <v>11</v>
      </c>
      <c r="H111" s="35">
        <v>43.4</v>
      </c>
      <c r="I111" s="35">
        <v>146.5</v>
      </c>
      <c r="J111" s="33" t="s">
        <v>48</v>
      </c>
      <c r="K111" s="16">
        <v>1</v>
      </c>
      <c r="L111" s="14" t="str">
        <f>LOOKUP(J111,Survey_Info!A:A,Survey_Info!G:G)</f>
        <v>TTAG</v>
      </c>
      <c r="M111" s="25">
        <f>LOOKUP(J111,Survey_Info!A:A,Survey_Info!D:D)</f>
        <v>3000</v>
      </c>
      <c r="N111" s="25">
        <f>LOOKUP(J111,Survey_Info!A:A, Survey_Info!J:J)</f>
        <v>300</v>
      </c>
      <c r="O111" s="25">
        <v>0</v>
      </c>
    </row>
    <row r="112" spans="1:15" ht="17.25" customHeight="1" x14ac:dyDescent="0.25">
      <c r="A112" s="33" t="s">
        <v>85</v>
      </c>
      <c r="B112" s="34">
        <v>42</v>
      </c>
      <c r="C112" s="34">
        <v>5</v>
      </c>
      <c r="D112" s="34">
        <v>37</v>
      </c>
      <c r="E112" s="35">
        <v>19.399999999999999</v>
      </c>
      <c r="F112" s="34">
        <v>-69</v>
      </c>
      <c r="G112" s="34">
        <v>11</v>
      </c>
      <c r="H112" s="35">
        <v>51.8</v>
      </c>
      <c r="I112" s="35">
        <v>146.5</v>
      </c>
      <c r="J112" s="33" t="s">
        <v>48</v>
      </c>
      <c r="K112" s="16">
        <v>1</v>
      </c>
      <c r="L112" s="14" t="str">
        <f>LOOKUP(J112,Survey_Info!A:A,Survey_Info!G:G)</f>
        <v>TTAG</v>
      </c>
      <c r="M112" s="25">
        <f>LOOKUP(J112,Survey_Info!A:A,Survey_Info!D:D)</f>
        <v>3000</v>
      </c>
      <c r="N112" s="25">
        <f>LOOKUP(J112,Survey_Info!A:A, Survey_Info!J:J)</f>
        <v>300</v>
      </c>
      <c r="O112" s="25">
        <v>0</v>
      </c>
    </row>
    <row r="113" spans="1:15" ht="17.25" customHeight="1" x14ac:dyDescent="0.25">
      <c r="A113" s="33" t="s">
        <v>85</v>
      </c>
      <c r="B113" s="34">
        <v>43</v>
      </c>
      <c r="C113" s="34">
        <v>5</v>
      </c>
      <c r="D113" s="34">
        <v>37</v>
      </c>
      <c r="E113" s="35">
        <v>20.399999999999999</v>
      </c>
      <c r="F113" s="34">
        <v>-69</v>
      </c>
      <c r="G113" s="34">
        <v>12</v>
      </c>
      <c r="H113" s="35">
        <v>0.1</v>
      </c>
      <c r="I113" s="35">
        <v>146.5</v>
      </c>
      <c r="J113" s="33" t="s">
        <v>48</v>
      </c>
      <c r="K113" s="16">
        <v>1</v>
      </c>
      <c r="L113" s="14" t="str">
        <f>LOOKUP(J113,Survey_Info!A:A,Survey_Info!G:G)</f>
        <v>TTAG</v>
      </c>
      <c r="M113" s="25">
        <f>LOOKUP(J113,Survey_Info!A:A,Survey_Info!D:D)</f>
        <v>3000</v>
      </c>
      <c r="N113" s="25">
        <f>LOOKUP(J113,Survey_Info!A:A, Survey_Info!J:J)</f>
        <v>300</v>
      </c>
      <c r="O113" s="25">
        <v>0</v>
      </c>
    </row>
    <row r="114" spans="1:15" ht="17.25" customHeight="1" x14ac:dyDescent="0.25">
      <c r="A114" s="33" t="s">
        <v>85</v>
      </c>
      <c r="B114" s="34">
        <v>44</v>
      </c>
      <c r="C114" s="34">
        <v>5</v>
      </c>
      <c r="D114" s="34">
        <v>37</v>
      </c>
      <c r="E114" s="35">
        <v>21.4</v>
      </c>
      <c r="F114" s="34">
        <v>-69</v>
      </c>
      <c r="G114" s="34">
        <v>12</v>
      </c>
      <c r="H114" s="35">
        <v>8.5</v>
      </c>
      <c r="I114" s="35">
        <v>146.5</v>
      </c>
      <c r="J114" s="33" t="s">
        <v>48</v>
      </c>
      <c r="K114" s="16">
        <v>1</v>
      </c>
      <c r="L114" s="14" t="str">
        <f>LOOKUP(J114,Survey_Info!A:A,Survey_Info!G:G)</f>
        <v>TTAG</v>
      </c>
      <c r="M114" s="25">
        <f>LOOKUP(J114,Survey_Info!A:A,Survey_Info!D:D)</f>
        <v>3000</v>
      </c>
      <c r="N114" s="25">
        <f>LOOKUP(J114,Survey_Info!A:A, Survey_Info!J:J)</f>
        <v>300</v>
      </c>
      <c r="O114" s="25">
        <v>0</v>
      </c>
    </row>
    <row r="115" spans="1:15" ht="17.25" customHeight="1" x14ac:dyDescent="0.25">
      <c r="A115" s="33" t="s">
        <v>85</v>
      </c>
      <c r="B115" s="34">
        <v>45</v>
      </c>
      <c r="C115" s="34">
        <v>5</v>
      </c>
      <c r="D115" s="34">
        <v>37</v>
      </c>
      <c r="E115" s="35">
        <v>22.5</v>
      </c>
      <c r="F115" s="34">
        <v>-69</v>
      </c>
      <c r="G115" s="34">
        <v>12</v>
      </c>
      <c r="H115" s="35">
        <v>16.8</v>
      </c>
      <c r="I115" s="35">
        <v>146.5</v>
      </c>
      <c r="J115" s="33" t="s">
        <v>48</v>
      </c>
      <c r="K115" s="16">
        <v>1</v>
      </c>
      <c r="L115" s="14" t="str">
        <f>LOOKUP(J115,Survey_Info!A:A,Survey_Info!G:G)</f>
        <v>TTAG</v>
      </c>
      <c r="M115" s="25">
        <f>LOOKUP(J115,Survey_Info!A:A,Survey_Info!D:D)</f>
        <v>3000</v>
      </c>
      <c r="N115" s="25">
        <f>LOOKUP(J115,Survey_Info!A:A, Survey_Info!J:J)</f>
        <v>300</v>
      </c>
      <c r="O115" s="25">
        <v>0</v>
      </c>
    </row>
    <row r="116" spans="1:15" ht="17.25" customHeight="1" x14ac:dyDescent="0.25">
      <c r="A116" s="33" t="s">
        <v>85</v>
      </c>
      <c r="B116" s="34">
        <v>46</v>
      </c>
      <c r="C116" s="34">
        <v>5</v>
      </c>
      <c r="D116" s="34">
        <v>37</v>
      </c>
      <c r="E116" s="35">
        <v>23.5</v>
      </c>
      <c r="F116" s="34">
        <v>-69</v>
      </c>
      <c r="G116" s="34">
        <v>12</v>
      </c>
      <c r="H116" s="35">
        <v>25.1</v>
      </c>
      <c r="I116" s="35">
        <v>146.5</v>
      </c>
      <c r="J116" s="33" t="s">
        <v>48</v>
      </c>
      <c r="K116" s="16">
        <v>1</v>
      </c>
      <c r="L116" s="14" t="str">
        <f>LOOKUP(J116,Survey_Info!A:A,Survey_Info!G:G)</f>
        <v>TTAG</v>
      </c>
      <c r="M116" s="25">
        <f>LOOKUP(J116,Survey_Info!A:A,Survey_Info!D:D)</f>
        <v>3000</v>
      </c>
      <c r="N116" s="25">
        <f>LOOKUP(J116,Survey_Info!A:A, Survey_Info!J:J)</f>
        <v>300</v>
      </c>
      <c r="O116" s="25">
        <v>0</v>
      </c>
    </row>
    <row r="117" spans="1:15" ht="17.25" customHeight="1" x14ac:dyDescent="0.25">
      <c r="A117" s="33" t="s">
        <v>85</v>
      </c>
      <c r="B117" s="34">
        <v>47</v>
      </c>
      <c r="C117" s="34">
        <v>5</v>
      </c>
      <c r="D117" s="34">
        <v>37</v>
      </c>
      <c r="E117" s="35">
        <v>24.6</v>
      </c>
      <c r="F117" s="34">
        <v>-69</v>
      </c>
      <c r="G117" s="34">
        <v>12</v>
      </c>
      <c r="H117" s="35">
        <v>33.5</v>
      </c>
      <c r="I117" s="35">
        <v>146.5</v>
      </c>
      <c r="J117" s="33" t="s">
        <v>48</v>
      </c>
      <c r="K117" s="16">
        <v>1</v>
      </c>
      <c r="L117" s="14" t="str">
        <f>LOOKUP(J117,Survey_Info!A:A,Survey_Info!G:G)</f>
        <v>TTAG</v>
      </c>
      <c r="M117" s="25">
        <f>LOOKUP(J117,Survey_Info!A:A,Survey_Info!D:D)</f>
        <v>3000</v>
      </c>
      <c r="N117" s="25">
        <f>LOOKUP(J117,Survey_Info!A:A, Survey_Info!J:J)</f>
        <v>300</v>
      </c>
      <c r="O117" s="25">
        <v>0</v>
      </c>
    </row>
    <row r="118" spans="1:15" ht="17.25" customHeight="1" x14ac:dyDescent="0.25">
      <c r="A118" s="33" t="s">
        <v>85</v>
      </c>
      <c r="B118" s="34">
        <v>48</v>
      </c>
      <c r="C118" s="34">
        <v>5</v>
      </c>
      <c r="D118" s="34">
        <v>37</v>
      </c>
      <c r="E118" s="35">
        <v>25.6</v>
      </c>
      <c r="F118" s="34">
        <v>-69</v>
      </c>
      <c r="G118" s="34">
        <v>12</v>
      </c>
      <c r="H118" s="35">
        <v>41.8</v>
      </c>
      <c r="I118" s="35">
        <v>146.5</v>
      </c>
      <c r="J118" s="33" t="s">
        <v>48</v>
      </c>
      <c r="K118" s="16">
        <v>1</v>
      </c>
      <c r="L118" s="14" t="str">
        <f>LOOKUP(J118,Survey_Info!A:A,Survey_Info!G:G)</f>
        <v>TTAG</v>
      </c>
      <c r="M118" s="25">
        <f>LOOKUP(J118,Survey_Info!A:A,Survey_Info!D:D)</f>
        <v>3000</v>
      </c>
      <c r="N118" s="25">
        <f>LOOKUP(J118,Survey_Info!A:A, Survey_Info!J:J)</f>
        <v>300</v>
      </c>
      <c r="O118" s="25">
        <v>0</v>
      </c>
    </row>
    <row r="119" spans="1:15" ht="17.25" customHeight="1" x14ac:dyDescent="0.25">
      <c r="A119" s="33" t="s">
        <v>85</v>
      </c>
      <c r="B119" s="34">
        <v>49</v>
      </c>
      <c r="C119" s="34">
        <v>5</v>
      </c>
      <c r="D119" s="34">
        <v>37</v>
      </c>
      <c r="E119" s="35">
        <v>26.6</v>
      </c>
      <c r="F119" s="34">
        <v>-69</v>
      </c>
      <c r="G119" s="34">
        <v>12</v>
      </c>
      <c r="H119" s="35">
        <v>50.1</v>
      </c>
      <c r="I119" s="35">
        <v>146.5</v>
      </c>
      <c r="J119" s="33" t="s">
        <v>48</v>
      </c>
      <c r="K119" s="16">
        <v>1</v>
      </c>
      <c r="L119" s="14" t="str">
        <f>LOOKUP(J119,Survey_Info!A:A,Survey_Info!G:G)</f>
        <v>TTAG</v>
      </c>
      <c r="M119" s="25">
        <f>LOOKUP(J119,Survey_Info!A:A,Survey_Info!D:D)</f>
        <v>3000</v>
      </c>
      <c r="N119" s="25">
        <f>LOOKUP(J119,Survey_Info!A:A, Survey_Info!J:J)</f>
        <v>300</v>
      </c>
      <c r="O119" s="25">
        <v>0</v>
      </c>
    </row>
    <row r="120" spans="1:15" ht="17.25" customHeight="1" x14ac:dyDescent="0.25">
      <c r="A120" s="33" t="s">
        <v>85</v>
      </c>
      <c r="B120" s="34">
        <v>50</v>
      </c>
      <c r="C120" s="34">
        <v>5</v>
      </c>
      <c r="D120" s="34">
        <v>37</v>
      </c>
      <c r="E120" s="35">
        <v>27.7</v>
      </c>
      <c r="F120" s="34">
        <v>-69</v>
      </c>
      <c r="G120" s="34">
        <v>12</v>
      </c>
      <c r="H120" s="35">
        <v>58.5</v>
      </c>
      <c r="I120" s="35">
        <v>146.5</v>
      </c>
      <c r="J120" s="33" t="s">
        <v>48</v>
      </c>
      <c r="K120" s="16">
        <v>1</v>
      </c>
      <c r="L120" s="14" t="str">
        <f>LOOKUP(J120,Survey_Info!A:A,Survey_Info!G:G)</f>
        <v>TTAG</v>
      </c>
      <c r="M120" s="25">
        <f>LOOKUP(J120,Survey_Info!A:A,Survey_Info!D:D)</f>
        <v>3000</v>
      </c>
      <c r="N120" s="25">
        <f>LOOKUP(J120,Survey_Info!A:A, Survey_Info!J:J)</f>
        <v>300</v>
      </c>
      <c r="O120" s="25">
        <v>0</v>
      </c>
    </row>
    <row r="121" spans="1:15" ht="17.25" customHeight="1" x14ac:dyDescent="0.25">
      <c r="A121" s="33" t="s">
        <v>85</v>
      </c>
      <c r="B121" s="34">
        <v>51</v>
      </c>
      <c r="C121" s="34">
        <v>5</v>
      </c>
      <c r="D121" s="34">
        <v>37</v>
      </c>
      <c r="E121" s="35">
        <v>28.7</v>
      </c>
      <c r="F121" s="34">
        <v>-69</v>
      </c>
      <c r="G121" s="34">
        <v>13</v>
      </c>
      <c r="H121" s="35">
        <v>6.8</v>
      </c>
      <c r="I121" s="35">
        <v>146.5</v>
      </c>
      <c r="J121" s="33" t="s">
        <v>48</v>
      </c>
      <c r="K121" s="16">
        <v>1</v>
      </c>
      <c r="L121" s="14" t="str">
        <f>LOOKUP(J121,Survey_Info!A:A,Survey_Info!G:G)</f>
        <v>TTAG</v>
      </c>
      <c r="M121" s="25">
        <f>LOOKUP(J121,Survey_Info!A:A,Survey_Info!D:D)</f>
        <v>3000</v>
      </c>
      <c r="N121" s="25">
        <f>LOOKUP(J121,Survey_Info!A:A, Survey_Info!J:J)</f>
        <v>300</v>
      </c>
      <c r="O121" s="25">
        <v>0</v>
      </c>
    </row>
    <row r="122" spans="1:15" ht="17.25" customHeight="1" x14ac:dyDescent="0.25">
      <c r="A122" s="33" t="s">
        <v>85</v>
      </c>
      <c r="B122" s="34">
        <v>52</v>
      </c>
      <c r="C122" s="34">
        <v>5</v>
      </c>
      <c r="D122" s="34">
        <v>37</v>
      </c>
      <c r="E122" s="35">
        <v>29.7</v>
      </c>
      <c r="F122" s="34">
        <v>-69</v>
      </c>
      <c r="G122" s="34">
        <v>13</v>
      </c>
      <c r="H122" s="35">
        <v>15.1</v>
      </c>
      <c r="I122" s="35">
        <v>146.5</v>
      </c>
      <c r="J122" s="33" t="s">
        <v>48</v>
      </c>
      <c r="K122" s="16">
        <v>1</v>
      </c>
      <c r="L122" s="14" t="str">
        <f>LOOKUP(J122,Survey_Info!A:A,Survey_Info!G:G)</f>
        <v>TTAG</v>
      </c>
      <c r="M122" s="25">
        <f>LOOKUP(J122,Survey_Info!A:A,Survey_Info!D:D)</f>
        <v>3000</v>
      </c>
      <c r="N122" s="25">
        <f>LOOKUP(J122,Survey_Info!A:A, Survey_Info!J:J)</f>
        <v>300</v>
      </c>
      <c r="O122" s="25">
        <v>0</v>
      </c>
    </row>
    <row r="123" spans="1:15" ht="17.25" customHeight="1" x14ac:dyDescent="0.25">
      <c r="A123" s="33" t="s">
        <v>85</v>
      </c>
      <c r="B123" s="34">
        <v>53</v>
      </c>
      <c r="C123" s="34">
        <v>5</v>
      </c>
      <c r="D123" s="34">
        <v>37</v>
      </c>
      <c r="E123" s="35">
        <v>30.8</v>
      </c>
      <c r="F123" s="34">
        <v>-69</v>
      </c>
      <c r="G123" s="34">
        <v>13</v>
      </c>
      <c r="H123" s="35">
        <v>23.5</v>
      </c>
      <c r="I123" s="35">
        <v>146.5</v>
      </c>
      <c r="J123" s="33" t="s">
        <v>48</v>
      </c>
      <c r="K123" s="16">
        <v>1</v>
      </c>
      <c r="L123" s="14" t="str">
        <f>LOOKUP(J123,Survey_Info!A:A,Survey_Info!G:G)</f>
        <v>TTAG</v>
      </c>
      <c r="M123" s="25">
        <f>LOOKUP(J123,Survey_Info!A:A,Survey_Info!D:D)</f>
        <v>3000</v>
      </c>
      <c r="N123" s="25">
        <f>LOOKUP(J123,Survey_Info!A:A, Survey_Info!J:J)</f>
        <v>300</v>
      </c>
      <c r="O123" s="25">
        <v>0</v>
      </c>
    </row>
    <row r="124" spans="1:15" ht="17.25" customHeight="1" x14ac:dyDescent="0.25">
      <c r="A124" s="33" t="s">
        <v>85</v>
      </c>
      <c r="B124" s="34">
        <v>54</v>
      </c>
      <c r="C124" s="34">
        <v>5</v>
      </c>
      <c r="D124" s="34">
        <v>37</v>
      </c>
      <c r="E124" s="35">
        <v>31.8</v>
      </c>
      <c r="F124" s="34">
        <v>-69</v>
      </c>
      <c r="G124" s="34">
        <v>13</v>
      </c>
      <c r="H124" s="35">
        <v>31.8</v>
      </c>
      <c r="I124" s="35">
        <v>146.5</v>
      </c>
      <c r="J124" s="33" t="s">
        <v>48</v>
      </c>
      <c r="K124" s="16">
        <v>1</v>
      </c>
      <c r="L124" s="14" t="str">
        <f>LOOKUP(J124,Survey_Info!A:A,Survey_Info!G:G)</f>
        <v>TTAG</v>
      </c>
      <c r="M124" s="25">
        <f>LOOKUP(J124,Survey_Info!A:A,Survey_Info!D:D)</f>
        <v>3000</v>
      </c>
      <c r="N124" s="25">
        <f>LOOKUP(J124,Survey_Info!A:A, Survey_Info!J:J)</f>
        <v>300</v>
      </c>
      <c r="O124" s="25">
        <v>0</v>
      </c>
    </row>
    <row r="125" spans="1:15" ht="17.25" customHeight="1" x14ac:dyDescent="0.25">
      <c r="A125" s="33" t="s">
        <v>85</v>
      </c>
      <c r="B125" s="34">
        <v>55</v>
      </c>
      <c r="C125" s="34">
        <v>5</v>
      </c>
      <c r="D125" s="34">
        <v>37</v>
      </c>
      <c r="E125" s="35">
        <v>32.9</v>
      </c>
      <c r="F125" s="34">
        <v>-69</v>
      </c>
      <c r="G125" s="34">
        <v>13</v>
      </c>
      <c r="H125" s="35">
        <v>40.1</v>
      </c>
      <c r="I125" s="35">
        <v>146.5</v>
      </c>
      <c r="J125" s="33" t="s">
        <v>48</v>
      </c>
      <c r="K125" s="16">
        <v>1</v>
      </c>
      <c r="L125" s="14" t="str">
        <f>LOOKUP(J125,Survey_Info!A:A,Survey_Info!G:G)</f>
        <v>TTAG</v>
      </c>
      <c r="M125" s="25">
        <f>LOOKUP(J125,Survey_Info!A:A,Survey_Info!D:D)</f>
        <v>3000</v>
      </c>
      <c r="N125" s="25">
        <f>LOOKUP(J125,Survey_Info!A:A, Survey_Info!J:J)</f>
        <v>300</v>
      </c>
      <c r="O125" s="25">
        <v>0</v>
      </c>
    </row>
    <row r="126" spans="1:15" ht="17.25" customHeight="1" x14ac:dyDescent="0.25">
      <c r="A126" s="33" t="s">
        <v>85</v>
      </c>
      <c r="B126" s="34">
        <v>56</v>
      </c>
      <c r="C126" s="34">
        <v>5</v>
      </c>
      <c r="D126" s="34">
        <v>37</v>
      </c>
      <c r="E126" s="35">
        <v>33.9</v>
      </c>
      <c r="F126" s="34">
        <v>-69</v>
      </c>
      <c r="G126" s="34">
        <v>13</v>
      </c>
      <c r="H126" s="35">
        <v>48.5</v>
      </c>
      <c r="I126" s="35">
        <v>146.5</v>
      </c>
      <c r="J126" s="33" t="s">
        <v>48</v>
      </c>
      <c r="K126" s="16">
        <v>1</v>
      </c>
      <c r="L126" s="14" t="str">
        <f>LOOKUP(J126,Survey_Info!A:A,Survey_Info!G:G)</f>
        <v>TTAG</v>
      </c>
      <c r="M126" s="25">
        <f>LOOKUP(J126,Survey_Info!A:A,Survey_Info!D:D)</f>
        <v>3000</v>
      </c>
      <c r="N126" s="25">
        <f>LOOKUP(J126,Survey_Info!A:A, Survey_Info!J:J)</f>
        <v>300</v>
      </c>
      <c r="O126" s="25">
        <v>0</v>
      </c>
    </row>
    <row r="127" spans="1:15" ht="17.25" customHeight="1" x14ac:dyDescent="0.25">
      <c r="A127" s="33" t="s">
        <v>85</v>
      </c>
      <c r="B127" s="34">
        <v>57</v>
      </c>
      <c r="C127" s="34">
        <v>5</v>
      </c>
      <c r="D127" s="34">
        <v>37</v>
      </c>
      <c r="E127" s="35">
        <v>34.9</v>
      </c>
      <c r="F127" s="34">
        <v>-69</v>
      </c>
      <c r="G127" s="34">
        <v>13</v>
      </c>
      <c r="H127" s="35">
        <v>56.8</v>
      </c>
      <c r="I127" s="35">
        <v>146.5</v>
      </c>
      <c r="J127" s="33" t="s">
        <v>48</v>
      </c>
      <c r="K127" s="16">
        <v>1</v>
      </c>
      <c r="L127" s="14" t="str">
        <f>LOOKUP(J127,Survey_Info!A:A,Survey_Info!G:G)</f>
        <v>TTAG</v>
      </c>
      <c r="M127" s="25">
        <f>LOOKUP(J127,Survey_Info!A:A,Survey_Info!D:D)</f>
        <v>3000</v>
      </c>
      <c r="N127" s="25">
        <f>LOOKUP(J127,Survey_Info!A:A, Survey_Info!J:J)</f>
        <v>300</v>
      </c>
      <c r="O127" s="25">
        <v>0</v>
      </c>
    </row>
    <row r="128" spans="1:15" ht="17.25" customHeight="1" x14ac:dyDescent="0.25">
      <c r="A128" s="33" t="s">
        <v>86</v>
      </c>
      <c r="B128" s="34">
        <v>1</v>
      </c>
      <c r="C128" s="34">
        <v>1</v>
      </c>
      <c r="D128" s="34">
        <v>5</v>
      </c>
      <c r="E128" s="34">
        <v>55</v>
      </c>
      <c r="F128" s="34">
        <v>-72</v>
      </c>
      <c r="G128" s="34">
        <v>4</v>
      </c>
      <c r="H128" s="34">
        <v>21</v>
      </c>
      <c r="I128" s="35">
        <v>197.1</v>
      </c>
      <c r="J128" s="33" t="s">
        <v>48</v>
      </c>
      <c r="K128" s="16">
        <v>1</v>
      </c>
      <c r="L128" s="14" t="str">
        <f>LOOKUP(J128,Survey_Info!A:A,Survey_Info!G:G)</f>
        <v>TTAG</v>
      </c>
      <c r="M128" s="25">
        <f>LOOKUP(J128,Survey_Info!A:A,Survey_Info!D:D)</f>
        <v>3000</v>
      </c>
      <c r="N128" s="25">
        <f>LOOKUP(J128,Survey_Info!A:A, Survey_Info!J:J)</f>
        <v>300</v>
      </c>
      <c r="O128" s="25">
        <v>0</v>
      </c>
    </row>
    <row r="129" spans="1:15" ht="17.25" customHeight="1" x14ac:dyDescent="0.25">
      <c r="A129" s="33" t="s">
        <v>86</v>
      </c>
      <c r="B129" s="34">
        <v>2</v>
      </c>
      <c r="C129" s="34">
        <v>1</v>
      </c>
      <c r="D129" s="34">
        <v>5</v>
      </c>
      <c r="E129" s="35">
        <v>54.3</v>
      </c>
      <c r="F129" s="34">
        <v>-72</v>
      </c>
      <c r="G129" s="34">
        <v>4</v>
      </c>
      <c r="H129" s="35">
        <v>30.6</v>
      </c>
      <c r="I129" s="35">
        <v>197.1</v>
      </c>
      <c r="J129" s="33" t="s">
        <v>48</v>
      </c>
      <c r="K129" s="16">
        <v>1</v>
      </c>
      <c r="L129" s="14" t="str">
        <f>LOOKUP(J129,Survey_Info!A:A,Survey_Info!G:G)</f>
        <v>TTAG</v>
      </c>
      <c r="M129" s="25">
        <f>LOOKUP(J129,Survey_Info!A:A,Survey_Info!D:D)</f>
        <v>3000</v>
      </c>
      <c r="N129" s="25">
        <f>LOOKUP(J129,Survey_Info!A:A, Survey_Info!J:J)</f>
        <v>300</v>
      </c>
      <c r="O129" s="25">
        <v>0</v>
      </c>
    </row>
    <row r="130" spans="1:15" ht="17.25" customHeight="1" x14ac:dyDescent="0.25">
      <c r="A130" s="33" t="s">
        <v>86</v>
      </c>
      <c r="B130" s="34">
        <v>3</v>
      </c>
      <c r="C130" s="34">
        <v>1</v>
      </c>
      <c r="D130" s="34">
        <v>5</v>
      </c>
      <c r="E130" s="35">
        <v>53.7</v>
      </c>
      <c r="F130" s="34">
        <v>-72</v>
      </c>
      <c r="G130" s="34">
        <v>4</v>
      </c>
      <c r="H130" s="35">
        <v>40.1</v>
      </c>
      <c r="I130" s="35">
        <v>197.1</v>
      </c>
      <c r="J130" s="33" t="s">
        <v>48</v>
      </c>
      <c r="K130" s="16">
        <v>1</v>
      </c>
      <c r="L130" s="14" t="str">
        <f>LOOKUP(J130,Survey_Info!A:A,Survey_Info!G:G)</f>
        <v>TTAG</v>
      </c>
      <c r="M130" s="25">
        <f>LOOKUP(J130,Survey_Info!A:A,Survey_Info!D:D)</f>
        <v>3000</v>
      </c>
      <c r="N130" s="25">
        <f>LOOKUP(J130,Survey_Info!A:A, Survey_Info!J:J)</f>
        <v>300</v>
      </c>
      <c r="O130" s="25">
        <v>0</v>
      </c>
    </row>
    <row r="131" spans="1:15" ht="17.25" customHeight="1" x14ac:dyDescent="0.25">
      <c r="A131" s="33" t="s">
        <v>86</v>
      </c>
      <c r="B131" s="34">
        <v>4</v>
      </c>
      <c r="C131" s="34">
        <v>1</v>
      </c>
      <c r="D131" s="34">
        <v>5</v>
      </c>
      <c r="E131" s="34">
        <v>53</v>
      </c>
      <c r="F131" s="34">
        <v>-72</v>
      </c>
      <c r="G131" s="34">
        <v>4</v>
      </c>
      <c r="H131" s="35">
        <v>49.7</v>
      </c>
      <c r="I131" s="35">
        <v>197.1</v>
      </c>
      <c r="J131" s="33" t="s">
        <v>48</v>
      </c>
      <c r="K131" s="16">
        <v>1</v>
      </c>
      <c r="L131" s="14" t="str">
        <f>LOOKUP(J131,Survey_Info!A:A,Survey_Info!G:G)</f>
        <v>TTAG</v>
      </c>
      <c r="M131" s="25">
        <f>LOOKUP(J131,Survey_Info!A:A,Survey_Info!D:D)</f>
        <v>3000</v>
      </c>
      <c r="N131" s="25">
        <f>LOOKUP(J131,Survey_Info!A:A, Survey_Info!J:J)</f>
        <v>300</v>
      </c>
      <c r="O131" s="25">
        <v>0</v>
      </c>
    </row>
    <row r="132" spans="1:15" ht="17.25" customHeight="1" x14ac:dyDescent="0.25">
      <c r="B132" s="1"/>
      <c r="C132" s="1"/>
      <c r="D132" s="1"/>
      <c r="E132" s="1"/>
      <c r="F132" s="1"/>
      <c r="G132" s="1"/>
      <c r="H132" s="4"/>
      <c r="I132" s="4"/>
      <c r="K132" s="1"/>
      <c r="L132" s="17"/>
      <c r="M132" s="1"/>
      <c r="N132" s="1"/>
      <c r="O132" s="1"/>
    </row>
    <row r="133" spans="1:15" ht="17.25" customHeight="1" x14ac:dyDescent="0.25">
      <c r="B133" s="1"/>
      <c r="C133" s="1"/>
      <c r="D133" s="1"/>
      <c r="E133" s="1"/>
      <c r="F133" s="1"/>
      <c r="G133" s="1"/>
      <c r="H133" s="4"/>
      <c r="I133" s="4"/>
      <c r="K133" s="1"/>
      <c r="L133" s="17"/>
      <c r="M133" s="1"/>
      <c r="N133" s="1"/>
      <c r="O133" s="1"/>
    </row>
    <row r="134" spans="1:15" ht="17.25" customHeight="1" x14ac:dyDescent="0.25">
      <c r="B134" s="1"/>
      <c r="C134" s="1"/>
      <c r="D134" s="1"/>
      <c r="E134" s="1"/>
      <c r="F134" s="1"/>
      <c r="G134" s="1"/>
      <c r="H134" s="4"/>
      <c r="I134" s="4"/>
      <c r="K134" s="1"/>
      <c r="L134" s="17"/>
      <c r="M134" s="1"/>
      <c r="N134" s="1"/>
      <c r="O134" s="1"/>
    </row>
    <row r="135" spans="1:15" ht="17.25" customHeight="1" x14ac:dyDescent="0.25">
      <c r="B135" s="1"/>
      <c r="C135" s="1"/>
      <c r="D135" s="1"/>
      <c r="E135" s="1"/>
      <c r="F135" s="1"/>
      <c r="G135" s="1"/>
      <c r="H135" s="4"/>
      <c r="I135" s="4"/>
      <c r="K135" s="1"/>
      <c r="L135" s="17"/>
      <c r="M135" s="1"/>
      <c r="N135" s="1"/>
      <c r="O135" s="1"/>
    </row>
    <row r="136" spans="1:15" ht="17.25" customHeight="1" x14ac:dyDescent="0.25">
      <c r="B136" s="1"/>
      <c r="C136" s="1"/>
      <c r="D136" s="1"/>
      <c r="E136" s="1"/>
      <c r="F136" s="1"/>
      <c r="G136" s="1"/>
      <c r="H136" s="4"/>
      <c r="I136" s="4"/>
      <c r="K136" s="1"/>
      <c r="L136" s="17"/>
      <c r="M136" s="1"/>
      <c r="N136" s="1"/>
      <c r="O136" s="1"/>
    </row>
    <row r="137" spans="1:15" ht="17.25" customHeight="1" x14ac:dyDescent="0.25">
      <c r="B137" s="1"/>
      <c r="C137" s="1"/>
      <c r="D137" s="1"/>
      <c r="E137" s="1"/>
      <c r="F137" s="1"/>
      <c r="G137" s="1"/>
      <c r="H137" s="4"/>
      <c r="I137" s="4"/>
      <c r="K137" s="1"/>
      <c r="L137" s="17"/>
      <c r="M137" s="1"/>
      <c r="N137" s="1"/>
      <c r="O137" s="1"/>
    </row>
    <row r="138" spans="1:15" ht="17.25" customHeight="1" x14ac:dyDescent="0.25">
      <c r="B138" s="1"/>
      <c r="C138" s="1"/>
      <c r="D138" s="1"/>
      <c r="E138" s="1"/>
      <c r="F138" s="1"/>
      <c r="G138" s="1"/>
      <c r="H138" s="4"/>
      <c r="I138" s="4"/>
      <c r="K138" s="1"/>
      <c r="L138" s="17"/>
      <c r="M138" s="1"/>
      <c r="N138" s="1"/>
      <c r="O138" s="1"/>
    </row>
    <row r="139" spans="1:15" ht="17.25" customHeight="1" x14ac:dyDescent="0.25">
      <c r="B139" s="1"/>
      <c r="C139" s="1"/>
      <c r="D139" s="1"/>
      <c r="E139" s="1"/>
      <c r="F139" s="1"/>
      <c r="G139" s="1"/>
      <c r="H139" s="4"/>
      <c r="I139" s="4"/>
      <c r="K139" s="1"/>
      <c r="L139" s="17"/>
      <c r="M139" s="1"/>
      <c r="N139" s="1"/>
      <c r="O139" s="1"/>
    </row>
    <row r="140" spans="1:15" ht="17.25" customHeight="1" x14ac:dyDescent="0.25">
      <c r="B140" s="1"/>
      <c r="C140" s="1"/>
      <c r="D140" s="1"/>
      <c r="E140" s="1"/>
      <c r="F140" s="1"/>
      <c r="G140" s="1"/>
      <c r="H140" s="4"/>
      <c r="I140" s="4"/>
      <c r="K140" s="1"/>
      <c r="L140" s="17"/>
      <c r="M140" s="1"/>
      <c r="N140" s="1"/>
      <c r="O140" s="1"/>
    </row>
    <row r="141" spans="1:15" ht="17.25" customHeight="1" x14ac:dyDescent="0.25">
      <c r="B141" s="1"/>
      <c r="C141" s="1"/>
      <c r="D141" s="1"/>
      <c r="E141" s="1"/>
      <c r="F141" s="1"/>
      <c r="G141" s="1"/>
      <c r="H141" s="4"/>
      <c r="I141" s="4"/>
      <c r="K141" s="1"/>
      <c r="L141" s="17"/>
      <c r="M141" s="1"/>
      <c r="N141" s="1"/>
      <c r="O141" s="1"/>
    </row>
    <row r="142" spans="1:15" ht="17.25" customHeight="1" x14ac:dyDescent="0.25">
      <c r="B142" s="1"/>
      <c r="C142" s="1"/>
      <c r="D142" s="1"/>
      <c r="E142" s="1"/>
      <c r="F142" s="1"/>
      <c r="G142" s="1"/>
      <c r="H142" s="4"/>
      <c r="I142" s="4"/>
      <c r="K142" s="1"/>
      <c r="L142" s="17"/>
      <c r="M142" s="1"/>
      <c r="N142" s="1"/>
      <c r="O142" s="1"/>
    </row>
    <row r="143" spans="1:15" ht="17.25" customHeight="1" x14ac:dyDescent="0.25">
      <c r="B143" s="1"/>
      <c r="C143" s="1"/>
      <c r="D143" s="1"/>
      <c r="E143" s="1"/>
      <c r="F143" s="1"/>
      <c r="G143" s="1"/>
      <c r="H143" s="4"/>
      <c r="I143" s="4"/>
      <c r="K143" s="1"/>
      <c r="L143" s="17"/>
      <c r="M143" s="1"/>
      <c r="N143" s="1"/>
      <c r="O14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J6"/>
  <sheetViews>
    <sheetView workbookViewId="0">
      <pane ySplit="1" topLeftCell="A2" activePane="bottomLeft" state="frozen"/>
      <selection pane="bottomLeft" activeCell="E10" sqref="E10"/>
    </sheetView>
  </sheetViews>
  <sheetFormatPr baseColWidth="10" defaultColWidth="8.83203125" defaultRowHeight="15" x14ac:dyDescent="0.2"/>
  <cols>
    <col min="1" max="1" width="31" style="18" bestFit="1" customWidth="1"/>
    <col min="2" max="2" width="10.5" style="3" bestFit="1" customWidth="1"/>
    <col min="3" max="3" width="21.5" style="3" bestFit="1" customWidth="1"/>
    <col min="4" max="4" width="25.83203125" style="3" bestFit="1" customWidth="1"/>
    <col min="5" max="5" width="23.6640625" style="27" bestFit="1" customWidth="1"/>
    <col min="6" max="6" width="15.1640625" style="27" bestFit="1" customWidth="1"/>
    <col min="7" max="7" width="11.1640625" style="18" bestFit="1" customWidth="1"/>
    <col min="8" max="8" width="16.33203125" style="18" bestFit="1" customWidth="1"/>
    <col min="9" max="9" width="15.33203125" style="3" bestFit="1" customWidth="1"/>
    <col min="10" max="10" width="23" style="3" bestFit="1" customWidth="1"/>
  </cols>
  <sheetData>
    <row r="1" spans="1:10" ht="17.25" customHeight="1" x14ac:dyDescent="0.25">
      <c r="A1" s="10" t="s">
        <v>30</v>
      </c>
      <c r="B1" s="22" t="s">
        <v>31</v>
      </c>
      <c r="C1" s="22" t="s">
        <v>32</v>
      </c>
      <c r="D1" s="22" t="s">
        <v>33</v>
      </c>
      <c r="E1" s="10" t="s">
        <v>34</v>
      </c>
      <c r="F1" s="10" t="s">
        <v>35</v>
      </c>
      <c r="G1" s="10" t="s">
        <v>36</v>
      </c>
      <c r="H1" s="10" t="s">
        <v>37</v>
      </c>
      <c r="I1" s="22" t="s">
        <v>38</v>
      </c>
      <c r="J1" s="22" t="s">
        <v>39</v>
      </c>
    </row>
    <row r="2" spans="1:10" ht="17.25" customHeight="1" x14ac:dyDescent="0.25">
      <c r="A2" s="14" t="s">
        <v>40</v>
      </c>
      <c r="B2" s="25">
        <v>50</v>
      </c>
      <c r="C2" s="25">
        <v>1</v>
      </c>
      <c r="D2" s="25">
        <v>100000</v>
      </c>
      <c r="E2" s="25">
        <f>D2*C2</f>
        <v>100000</v>
      </c>
      <c r="F2" s="25">
        <f>E2*B2</f>
        <v>5000000</v>
      </c>
      <c r="G2" s="14" t="s">
        <v>41</v>
      </c>
      <c r="H2" s="14" t="s">
        <v>42</v>
      </c>
      <c r="I2" s="25">
        <v>1</v>
      </c>
      <c r="J2" s="25">
        <v>300</v>
      </c>
    </row>
    <row r="3" spans="1:10" ht="17.25" customHeight="1" x14ac:dyDescent="0.25">
      <c r="A3" s="14" t="s">
        <v>43</v>
      </c>
      <c r="B3" s="25">
        <v>6</v>
      </c>
      <c r="C3" s="25">
        <v>25</v>
      </c>
      <c r="D3" s="25">
        <v>3000</v>
      </c>
      <c r="E3" s="25">
        <f>D3*C3</f>
        <v>75000</v>
      </c>
      <c r="F3" s="25">
        <f>E3*B3</f>
        <v>450000</v>
      </c>
      <c r="G3" s="14" t="s">
        <v>44</v>
      </c>
      <c r="H3" s="14" t="s">
        <v>42</v>
      </c>
      <c r="I3" s="25">
        <v>3</v>
      </c>
      <c r="J3" s="25">
        <v>300</v>
      </c>
    </row>
    <row r="4" spans="1:10" ht="17.25" customHeight="1" x14ac:dyDescent="0.25">
      <c r="A4" s="14" t="s">
        <v>45</v>
      </c>
      <c r="B4" s="25">
        <v>3</v>
      </c>
      <c r="C4" s="25">
        <v>1</v>
      </c>
      <c r="D4" s="25">
        <v>1200</v>
      </c>
      <c r="E4" s="25">
        <f>D4*C4</f>
        <v>1200</v>
      </c>
      <c r="F4" s="25">
        <f>E4*B4</f>
        <v>3600</v>
      </c>
      <c r="G4" s="14" t="s">
        <v>41</v>
      </c>
      <c r="H4" s="14" t="s">
        <v>46</v>
      </c>
      <c r="I4" s="25">
        <v>4</v>
      </c>
      <c r="J4" s="25">
        <v>60</v>
      </c>
    </row>
    <row r="5" spans="1:10" ht="17.25" customHeight="1" x14ac:dyDescent="0.25">
      <c r="A5" s="14" t="s">
        <v>47</v>
      </c>
      <c r="B5" s="25">
        <v>3</v>
      </c>
      <c r="C5" s="25">
        <v>1</v>
      </c>
      <c r="D5" s="25">
        <v>1200</v>
      </c>
      <c r="E5" s="25">
        <f>D5*C5</f>
        <v>1200</v>
      </c>
      <c r="F5" s="25">
        <f>E5*B5</f>
        <v>3600</v>
      </c>
      <c r="G5" s="14" t="s">
        <v>41</v>
      </c>
      <c r="H5" s="14" t="s">
        <v>46</v>
      </c>
      <c r="I5" s="25">
        <v>4</v>
      </c>
      <c r="J5" s="25">
        <v>60</v>
      </c>
    </row>
    <row r="6" spans="1:10" ht="17.25" customHeight="1" x14ac:dyDescent="0.25">
      <c r="A6" s="14" t="s">
        <v>48</v>
      </c>
      <c r="B6" s="25">
        <v>50</v>
      </c>
      <c r="C6" s="25">
        <v>25</v>
      </c>
      <c r="D6" s="25">
        <v>3000</v>
      </c>
      <c r="E6" s="25">
        <f>D6*C6</f>
        <v>75000</v>
      </c>
      <c r="F6" s="25">
        <f>E6*B6</f>
        <v>3750000</v>
      </c>
      <c r="G6" s="14" t="s">
        <v>44</v>
      </c>
      <c r="H6" s="14" t="s">
        <v>42</v>
      </c>
      <c r="I6" s="25">
        <v>2</v>
      </c>
      <c r="J6" s="25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2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1" width="17.1640625" style="3" bestFit="1" customWidth="1"/>
    <col min="2" max="2" width="23.1640625" style="3" bestFit="1" customWidth="1"/>
    <col min="3" max="3" width="13.83203125" style="8" bestFit="1" customWidth="1"/>
    <col min="4" max="4" width="13.1640625" style="27" bestFit="1" customWidth="1"/>
    <col min="5" max="5" width="17.33203125" style="27" bestFit="1" customWidth="1"/>
    <col min="6" max="6" width="14.33203125" style="27" bestFit="1" customWidth="1"/>
    <col min="7" max="7" width="8.83203125" style="27" bestFit="1" customWidth="1"/>
  </cols>
  <sheetData>
    <row r="1" spans="1:7" ht="17.25" customHeight="1" x14ac:dyDescent="0.25">
      <c r="A1" s="22" t="s">
        <v>23</v>
      </c>
      <c r="B1" s="22" t="s">
        <v>24</v>
      </c>
      <c r="C1" s="11" t="s">
        <v>25</v>
      </c>
      <c r="D1" s="10" t="s">
        <v>26</v>
      </c>
      <c r="E1" s="10" t="s">
        <v>27</v>
      </c>
      <c r="F1" s="10" t="s">
        <v>28</v>
      </c>
      <c r="G1" s="10" t="s">
        <v>29</v>
      </c>
    </row>
    <row r="2" spans="1:7" ht="17.25" customHeight="1" x14ac:dyDescent="0.25">
      <c r="A2" s="25">
        <v>400000</v>
      </c>
      <c r="B2" s="25">
        <v>535680</v>
      </c>
      <c r="C2" s="26">
        <v>38.200000000000003</v>
      </c>
      <c r="D2" s="25">
        <v>-32</v>
      </c>
      <c r="E2" s="26">
        <v>-28.7</v>
      </c>
      <c r="F2" s="26">
        <v>-46.9</v>
      </c>
      <c r="G2" s="26">
        <v>-28.7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G2"/>
  <sheetViews>
    <sheetView workbookViewId="0"/>
  </sheetViews>
  <sheetFormatPr baseColWidth="10" defaultColWidth="8.83203125" defaultRowHeight="15" x14ac:dyDescent="0.2"/>
  <cols>
    <col min="1" max="1" width="29.33203125" style="3" bestFit="1" customWidth="1"/>
    <col min="2" max="2" width="34.33203125" style="3" bestFit="1" customWidth="1"/>
    <col min="3" max="3" width="22.83203125" style="3" bestFit="1" customWidth="1"/>
    <col min="4" max="4" width="20.1640625" style="3" bestFit="1" customWidth="1"/>
    <col min="5" max="5" width="28" style="8" bestFit="1" customWidth="1"/>
    <col min="6" max="6" width="14.33203125" bestFit="1" customWidth="1"/>
    <col min="7" max="7" width="8.83203125" bestFit="1" customWidth="1"/>
  </cols>
  <sheetData>
    <row r="1" spans="1:7" ht="17.25" customHeight="1" x14ac:dyDescent="0.25">
      <c r="A1" s="22" t="s">
        <v>18</v>
      </c>
      <c r="B1" s="22" t="s">
        <v>19</v>
      </c>
      <c r="C1" s="22" t="s">
        <v>20</v>
      </c>
      <c r="D1" s="22" t="s">
        <v>21</v>
      </c>
      <c r="E1" s="11" t="s">
        <v>22</v>
      </c>
      <c r="F1" s="13"/>
      <c r="G1" s="13"/>
    </row>
    <row r="2" spans="1:7" ht="17.25" customHeight="1" x14ac:dyDescent="0.25">
      <c r="A2" s="25">
        <v>0</v>
      </c>
      <c r="B2" s="25">
        <v>200</v>
      </c>
      <c r="C2" s="25">
        <v>2</v>
      </c>
      <c r="D2" s="25">
        <v>1</v>
      </c>
      <c r="E2" s="26">
        <v>2.5000000000000001E-2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F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77.6640625" style="18" bestFit="1" customWidth="1"/>
    <col min="2" max="2" width="8.83203125" style="18" bestFit="1" customWidth="1"/>
    <col min="3" max="3" width="16" style="18" bestFit="1" customWidth="1"/>
    <col min="4" max="4" width="54.5" style="24" bestFit="1" customWidth="1"/>
    <col min="5" max="5" width="53.33203125" style="24" bestFit="1" customWidth="1"/>
    <col min="6" max="6" width="16" style="20" bestFit="1" customWidth="1"/>
  </cols>
  <sheetData>
    <row r="1" spans="1:6" ht="17.25" customHeight="1" x14ac:dyDescent="0.25">
      <c r="A1" s="10" t="s">
        <v>9</v>
      </c>
      <c r="B1" s="10" t="s">
        <v>10</v>
      </c>
      <c r="C1" s="10" t="s">
        <v>11</v>
      </c>
      <c r="D1" s="21" t="s">
        <v>12</v>
      </c>
      <c r="E1" s="21" t="s">
        <v>13</v>
      </c>
      <c r="F1" s="22" t="s">
        <v>14</v>
      </c>
    </row>
    <row r="2" spans="1:6" ht="24" customHeight="1" x14ac:dyDescent="0.25">
      <c r="A2" s="14" t="s">
        <v>15</v>
      </c>
      <c r="B2" s="14" t="s">
        <v>16</v>
      </c>
      <c r="C2" s="14" t="s">
        <v>17</v>
      </c>
      <c r="D2" s="23">
        <v>45749.666666666664</v>
      </c>
      <c r="E2" s="23">
        <v>45750.666666666664</v>
      </c>
      <c r="F2" s="16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F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.5" style="18" bestFit="1" customWidth="1"/>
    <col min="2" max="4" width="12.5" style="19" bestFit="1" customWidth="1"/>
    <col min="5" max="5" width="12.5" style="20" bestFit="1" customWidth="1"/>
    <col min="6" max="6" width="12.5" style="18" bestFit="1" customWidth="1"/>
  </cols>
  <sheetData>
    <row r="1" spans="1:6" ht="17.25" customHeight="1" x14ac:dyDescent="0.25">
      <c r="A1" s="10" t="s">
        <v>5</v>
      </c>
      <c r="B1" s="11" t="s">
        <v>3</v>
      </c>
      <c r="C1" s="11" t="s">
        <v>4</v>
      </c>
      <c r="D1" s="11" t="s">
        <v>6</v>
      </c>
      <c r="E1" s="12" t="s">
        <v>7</v>
      </c>
      <c r="F1" s="13"/>
    </row>
    <row r="2" spans="1:6" ht="17.25" customHeight="1" x14ac:dyDescent="0.25">
      <c r="A2" s="14" t="s">
        <v>8</v>
      </c>
      <c r="B2" s="15">
        <v>40.015000000000001</v>
      </c>
      <c r="C2" s="15">
        <v>-105.2705</v>
      </c>
      <c r="D2" s="15">
        <v>1655</v>
      </c>
      <c r="E2" s="16">
        <v>15</v>
      </c>
      <c r="F2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101"/>
  <sheetViews>
    <sheetView workbookViewId="0"/>
  </sheetViews>
  <sheetFormatPr baseColWidth="10" defaultColWidth="8.83203125" defaultRowHeight="15" x14ac:dyDescent="0.2"/>
  <cols>
    <col min="1" max="1" width="12.5" style="8" bestFit="1" customWidth="1"/>
    <col min="2" max="2" width="12.5" style="9" bestFit="1" customWidth="1"/>
  </cols>
  <sheetData>
    <row r="1" spans="1:2" ht="17.25" customHeight="1" x14ac:dyDescent="0.2">
      <c r="A1" s="4" t="s">
        <v>3</v>
      </c>
      <c r="B1" s="5" t="s">
        <v>4</v>
      </c>
    </row>
    <row r="2" spans="1:2" ht="17.25" customHeight="1" x14ac:dyDescent="0.2">
      <c r="A2" s="2">
        <v>-20</v>
      </c>
      <c r="B2" s="6">
        <v>6.5900000000000002E-15</v>
      </c>
    </row>
    <row r="3" spans="1:2" ht="17.25" customHeight="1" x14ac:dyDescent="0.2">
      <c r="A3" s="7">
        <v>-20.959595960000001</v>
      </c>
      <c r="B3" s="7">
        <v>2.8787878789999999</v>
      </c>
    </row>
    <row r="4" spans="1:2" ht="17.25" customHeight="1" x14ac:dyDescent="0.2">
      <c r="A4" s="7">
        <v>-21.919191919999999</v>
      </c>
      <c r="B4" s="7">
        <v>5.7575757579999998</v>
      </c>
    </row>
    <row r="5" spans="1:2" ht="17.25" customHeight="1" x14ac:dyDescent="0.2">
      <c r="A5" s="7">
        <v>-22.878787880000001</v>
      </c>
      <c r="B5" s="7">
        <v>8.6363636360000005</v>
      </c>
    </row>
    <row r="6" spans="1:2" ht="17.25" customHeight="1" x14ac:dyDescent="0.2">
      <c r="A6" s="7">
        <v>-23.838383839999999</v>
      </c>
      <c r="B6" s="7">
        <v>11.51515152</v>
      </c>
    </row>
    <row r="7" spans="1:2" ht="17.25" customHeight="1" x14ac:dyDescent="0.2">
      <c r="A7" s="7">
        <v>-24.7979798</v>
      </c>
      <c r="B7" s="7">
        <v>14.39393939</v>
      </c>
    </row>
    <row r="8" spans="1:2" ht="17.25" customHeight="1" x14ac:dyDescent="0.2">
      <c r="A8" s="7">
        <v>-25.757575760000002</v>
      </c>
      <c r="B8" s="7">
        <v>17.36596737</v>
      </c>
    </row>
    <row r="9" spans="1:2" ht="17.25" customHeight="1" x14ac:dyDescent="0.2">
      <c r="A9" s="7">
        <v>-26.71717172</v>
      </c>
      <c r="B9" s="7">
        <v>20.382496289999999</v>
      </c>
    </row>
    <row r="10" spans="1:2" ht="17.25" customHeight="1" x14ac:dyDescent="0.2">
      <c r="A10" s="7">
        <v>-27.676767680000001</v>
      </c>
      <c r="B10" s="7">
        <v>23.26811236</v>
      </c>
    </row>
    <row r="11" spans="1:2" ht="17.25" customHeight="1" x14ac:dyDescent="0.2">
      <c r="A11" s="7">
        <v>-28.636363639999999</v>
      </c>
      <c r="B11" s="7">
        <v>25.892138159999998</v>
      </c>
    </row>
    <row r="12" spans="1:2" ht="17.25" customHeight="1" x14ac:dyDescent="0.2">
      <c r="A12" s="7">
        <v>-29.5959596</v>
      </c>
      <c r="B12" s="7">
        <v>28.168632710000001</v>
      </c>
    </row>
    <row r="13" spans="1:2" ht="17.25" customHeight="1" x14ac:dyDescent="0.2">
      <c r="A13" s="7">
        <v>-30.567422480000001</v>
      </c>
      <c r="B13" s="7">
        <v>30.11572602</v>
      </c>
    </row>
    <row r="14" spans="1:2" ht="17.25" customHeight="1" x14ac:dyDescent="0.2">
      <c r="A14" s="7">
        <v>-31.556261920000001</v>
      </c>
      <c r="B14" s="7">
        <v>31.76449813</v>
      </c>
    </row>
    <row r="15" spans="1:2" ht="17.25" customHeight="1" x14ac:dyDescent="0.2">
      <c r="A15" s="7">
        <v>-32.525511530000003</v>
      </c>
      <c r="B15" s="7">
        <v>32.978385250000002</v>
      </c>
    </row>
    <row r="16" spans="1:2" ht="17.25" customHeight="1" x14ac:dyDescent="0.2">
      <c r="A16" s="7">
        <v>-33.447152170000003</v>
      </c>
      <c r="B16" s="7">
        <v>33.71029644</v>
      </c>
    </row>
    <row r="17" spans="1:2" ht="17.25" customHeight="1" x14ac:dyDescent="0.2">
      <c r="A17" s="7">
        <v>-34.302112030000004</v>
      </c>
      <c r="B17" s="7">
        <v>34.00261355</v>
      </c>
    </row>
    <row r="18" spans="1:2" ht="17.25" customHeight="1" x14ac:dyDescent="0.2">
      <c r="A18" s="7">
        <v>-35.082809449999999</v>
      </c>
      <c r="B18" s="7">
        <v>34.012620380000001</v>
      </c>
    </row>
    <row r="19" spans="1:2" ht="17.25" customHeight="1" x14ac:dyDescent="0.2">
      <c r="A19" s="7">
        <v>-35.798450709999997</v>
      </c>
      <c r="B19" s="7">
        <v>33.829789740000002</v>
      </c>
    </row>
    <row r="20" spans="1:2" ht="17.25" customHeight="1" x14ac:dyDescent="0.2">
      <c r="A20" s="7">
        <v>-36.4373808</v>
      </c>
      <c r="B20" s="7">
        <v>33.2309105</v>
      </c>
    </row>
    <row r="21" spans="1:2" ht="17.25" customHeight="1" x14ac:dyDescent="0.2">
      <c r="A21" s="7">
        <v>-37.001365640000003</v>
      </c>
      <c r="B21" s="7">
        <v>32.150055330000001</v>
      </c>
    </row>
    <row r="22" spans="1:2" ht="17.25" customHeight="1" x14ac:dyDescent="0.2">
      <c r="A22" s="7">
        <v>-37.505592049999997</v>
      </c>
      <c r="B22" s="7">
        <v>30.610769699999999</v>
      </c>
    </row>
    <row r="23" spans="1:2" ht="17.25" customHeight="1" x14ac:dyDescent="0.2">
      <c r="A23" s="7">
        <v>-37.978667799999997</v>
      </c>
      <c r="B23" s="7">
        <v>28.726071910000002</v>
      </c>
    </row>
    <row r="24" spans="1:2" ht="17.25" customHeight="1" x14ac:dyDescent="0.2">
      <c r="A24" s="7">
        <v>-38.386852210000001</v>
      </c>
      <c r="B24" s="7">
        <v>26.548468369999998</v>
      </c>
    </row>
    <row r="25" spans="1:2" ht="17.25" customHeight="1" x14ac:dyDescent="0.2">
      <c r="A25" s="7">
        <v>-38.767417770000002</v>
      </c>
      <c r="B25" s="7">
        <v>24.005674460000002</v>
      </c>
    </row>
    <row r="26" spans="1:2" ht="17.25" customHeight="1" x14ac:dyDescent="0.2">
      <c r="A26" s="7">
        <v>-39.175460899999997</v>
      </c>
      <c r="B26" s="7">
        <v>21.171858440000001</v>
      </c>
    </row>
    <row r="27" spans="1:2" ht="17.25" customHeight="1" x14ac:dyDescent="0.2">
      <c r="A27" s="7">
        <v>-39.65713075</v>
      </c>
      <c r="B27" s="7">
        <v>18.16592498</v>
      </c>
    </row>
    <row r="28" spans="1:2" ht="17.25" customHeight="1" x14ac:dyDescent="0.2">
      <c r="A28" s="7">
        <v>-40.249629159999998</v>
      </c>
      <c r="B28" s="7">
        <v>15.15151515</v>
      </c>
    </row>
    <row r="29" spans="1:2" ht="17.25" customHeight="1" x14ac:dyDescent="0.2">
      <c r="A29" s="7">
        <v>-40.939182029999998</v>
      </c>
      <c r="B29" s="7">
        <v>12.272727270000001</v>
      </c>
    </row>
    <row r="30" spans="1:2" ht="17.25" customHeight="1" x14ac:dyDescent="0.2">
      <c r="A30" s="7">
        <v>-41.738009470000001</v>
      </c>
      <c r="B30" s="7">
        <v>9.3939393940000002</v>
      </c>
    </row>
    <row r="31" spans="1:2" ht="17.25" customHeight="1" x14ac:dyDescent="0.2">
      <c r="A31" s="7">
        <v>-42.677191499999999</v>
      </c>
      <c r="B31" s="7">
        <v>6.5151515150000003</v>
      </c>
    </row>
    <row r="32" spans="1:2" ht="17.25" customHeight="1" x14ac:dyDescent="0.2">
      <c r="A32" s="7">
        <v>-43.760966310000001</v>
      </c>
      <c r="B32" s="7">
        <v>3.636363636</v>
      </c>
    </row>
    <row r="33" spans="1:2" ht="17.25" customHeight="1" x14ac:dyDescent="0.2">
      <c r="A33" s="7">
        <v>-44.966730239999997</v>
      </c>
      <c r="B33" s="7">
        <v>0.75757575799999999</v>
      </c>
    </row>
    <row r="34" spans="1:2" ht="17.25" customHeight="1" x14ac:dyDescent="0.2">
      <c r="A34" s="7">
        <v>-46.253514160000002</v>
      </c>
      <c r="B34" s="7">
        <v>-2.1212121210000001</v>
      </c>
    </row>
    <row r="35" spans="1:2" ht="17.25" customHeight="1" x14ac:dyDescent="0.2">
      <c r="A35" s="7">
        <v>-47.657766479999999</v>
      </c>
      <c r="B35" s="2">
        <v>-5</v>
      </c>
    </row>
    <row r="36" spans="1:2" ht="17.25" customHeight="1" x14ac:dyDescent="0.2">
      <c r="A36" s="7">
        <v>-49.147653689999999</v>
      </c>
      <c r="B36" s="7">
        <v>-7.8787878789999999</v>
      </c>
    </row>
    <row r="37" spans="1:2" ht="17.25" customHeight="1" x14ac:dyDescent="0.2">
      <c r="A37" s="7">
        <v>-50.67985213</v>
      </c>
      <c r="B37" s="7">
        <v>-10.75757576</v>
      </c>
    </row>
    <row r="38" spans="1:2" ht="17.25" customHeight="1" x14ac:dyDescent="0.2">
      <c r="A38" s="7">
        <v>-52.202090839999997</v>
      </c>
      <c r="B38" s="7">
        <v>-13.636363640000001</v>
      </c>
    </row>
    <row r="39" spans="1:2" ht="17.25" customHeight="1" x14ac:dyDescent="0.2">
      <c r="A39" s="7">
        <v>-53.68875233</v>
      </c>
      <c r="B39" s="7">
        <v>-16.51515152</v>
      </c>
    </row>
    <row r="40" spans="1:2" ht="17.25" customHeight="1" x14ac:dyDescent="0.2">
      <c r="A40" s="7">
        <v>-55.192295919999999</v>
      </c>
      <c r="B40" s="7">
        <v>-19.39393939</v>
      </c>
    </row>
    <row r="41" spans="1:2" ht="17.25" customHeight="1" x14ac:dyDescent="0.2">
      <c r="A41" s="7">
        <v>-56.598996960000001</v>
      </c>
      <c r="B41" s="7">
        <v>-22.272727270000001</v>
      </c>
    </row>
    <row r="42" spans="1:2" ht="17.25" customHeight="1" x14ac:dyDescent="0.2">
      <c r="A42" s="7">
        <v>-57.81820536</v>
      </c>
      <c r="B42" s="7">
        <v>-25.151515150000002</v>
      </c>
    </row>
    <row r="43" spans="1:2" ht="17.25" customHeight="1" x14ac:dyDescent="0.2">
      <c r="A43" s="7">
        <v>-58.795060159999998</v>
      </c>
      <c r="B43" s="7">
        <v>-28.030303029999999</v>
      </c>
    </row>
    <row r="44" spans="1:2" ht="17.25" customHeight="1" x14ac:dyDescent="0.2">
      <c r="A44" s="7">
        <v>-59.52744225</v>
      </c>
      <c r="B44" s="7">
        <v>-30.90909091</v>
      </c>
    </row>
    <row r="45" spans="1:2" ht="17.25" customHeight="1" x14ac:dyDescent="0.2">
      <c r="A45" s="7">
        <v>-60.133549950000003</v>
      </c>
      <c r="B45" s="7">
        <v>-33.787878790000001</v>
      </c>
    </row>
    <row r="46" spans="1:2" ht="17.25" customHeight="1" x14ac:dyDescent="0.2">
      <c r="A46" s="7">
        <v>-60.434696619999997</v>
      </c>
      <c r="B46" s="7">
        <v>-36.666666669999998</v>
      </c>
    </row>
    <row r="47" spans="1:2" ht="17.25" customHeight="1" x14ac:dyDescent="0.2">
      <c r="A47" s="7">
        <v>-60.335876239999997</v>
      </c>
      <c r="B47" s="7">
        <v>-39.545454550000002</v>
      </c>
    </row>
    <row r="48" spans="1:2" ht="17.25" customHeight="1" x14ac:dyDescent="0.2">
      <c r="A48" s="7">
        <v>-59.818134729999997</v>
      </c>
      <c r="B48" s="7">
        <v>-42.424242419999999</v>
      </c>
    </row>
    <row r="49" spans="1:2" ht="17.25" customHeight="1" x14ac:dyDescent="0.2">
      <c r="A49" s="7">
        <v>-58.93856985</v>
      </c>
      <c r="B49" s="7">
        <v>-45.303030300000003</v>
      </c>
    </row>
    <row r="50" spans="1:2" ht="17.25" customHeight="1" x14ac:dyDescent="0.2">
      <c r="A50" s="7">
        <v>-57.74034047</v>
      </c>
      <c r="B50" s="7">
        <v>-48.18181818</v>
      </c>
    </row>
    <row r="51" spans="1:2" ht="17.25" customHeight="1" x14ac:dyDescent="0.2">
      <c r="A51" s="7">
        <v>-56.173388899999999</v>
      </c>
      <c r="B51" s="7">
        <v>-51.060606059999998</v>
      </c>
    </row>
    <row r="52" spans="1:2" ht="17.25" customHeight="1" x14ac:dyDescent="0.2">
      <c r="A52" s="7">
        <v>-54.30952885</v>
      </c>
      <c r="B52" s="7">
        <v>-53.939393940000002</v>
      </c>
    </row>
    <row r="53" spans="1:2" ht="17.25" customHeight="1" x14ac:dyDescent="0.2">
      <c r="A53" s="7">
        <v>-52.265310450000001</v>
      </c>
      <c r="B53" s="7">
        <v>-56.81818182</v>
      </c>
    </row>
    <row r="54" spans="1:2" ht="17.25" customHeight="1" x14ac:dyDescent="0.2">
      <c r="A54" s="7">
        <v>-50.2020202</v>
      </c>
      <c r="B54" s="7">
        <v>-59.696969699999997</v>
      </c>
    </row>
    <row r="55" spans="1:2" ht="17.25" customHeight="1" x14ac:dyDescent="0.2">
      <c r="A55" s="7">
        <v>-48.315886130000003</v>
      </c>
      <c r="B55" s="7">
        <v>-62.685950409999997</v>
      </c>
    </row>
    <row r="56" spans="1:2" ht="17.25" customHeight="1" x14ac:dyDescent="0.2">
      <c r="A56" s="7">
        <v>-46.436745070000001</v>
      </c>
      <c r="B56" s="7">
        <v>-65.698241150000001</v>
      </c>
    </row>
    <row r="57" spans="1:2" ht="17.25" customHeight="1" x14ac:dyDescent="0.2">
      <c r="A57" s="7">
        <v>-44.513385599999999</v>
      </c>
      <c r="B57" s="7">
        <v>-68.5631372</v>
      </c>
    </row>
    <row r="58" spans="1:2" ht="17.25" customHeight="1" x14ac:dyDescent="0.2">
      <c r="A58" s="7">
        <v>-42.508017240000001</v>
      </c>
      <c r="B58" s="7">
        <v>-71.154670249999995</v>
      </c>
    </row>
    <row r="59" spans="1:2" ht="17.25" customHeight="1" x14ac:dyDescent="0.2">
      <c r="A59" s="7">
        <v>-40.396270399999999</v>
      </c>
      <c r="B59" s="7">
        <v>-73.391608390000002</v>
      </c>
    </row>
    <row r="60" spans="1:2" ht="17.25" customHeight="1" x14ac:dyDescent="0.2">
      <c r="A60" s="7">
        <v>-38.106166559999998</v>
      </c>
      <c r="B60" s="7">
        <v>-75.275599819999996</v>
      </c>
    </row>
    <row r="61" spans="1:2" ht="17.25" customHeight="1" x14ac:dyDescent="0.2">
      <c r="A61" s="7">
        <v>-35.648654380000004</v>
      </c>
      <c r="B61" s="7">
        <v>-76.809587719999996</v>
      </c>
    </row>
    <row r="62" spans="1:2" ht="17.25" customHeight="1" x14ac:dyDescent="0.2">
      <c r="A62" s="7">
        <v>-33.183725369999998</v>
      </c>
      <c r="B62" s="7">
        <v>-77.956487960000004</v>
      </c>
    </row>
    <row r="63" spans="1:2" ht="17.25" customHeight="1" x14ac:dyDescent="0.2">
      <c r="A63" s="7">
        <v>-30.849002850000002</v>
      </c>
      <c r="B63" s="7">
        <v>-78.746321019999996</v>
      </c>
    </row>
    <row r="64" spans="1:2" ht="17.25" customHeight="1" x14ac:dyDescent="0.2">
      <c r="A64" s="7">
        <v>-28.759741940000001</v>
      </c>
      <c r="B64" s="7">
        <v>-79.276212000000001</v>
      </c>
    </row>
    <row r="65" spans="1:2" ht="17.25" customHeight="1" x14ac:dyDescent="0.2">
      <c r="A65" s="7">
        <v>-27.017305929999999</v>
      </c>
      <c r="B65" s="7">
        <v>-79.731581550000001</v>
      </c>
    </row>
    <row r="66" spans="1:2" ht="17.25" customHeight="1" x14ac:dyDescent="0.2">
      <c r="A66" s="7">
        <v>-25.621788989999999</v>
      </c>
      <c r="B66" s="7">
        <v>-80.098066919999994</v>
      </c>
    </row>
    <row r="67" spans="1:2" ht="17.25" customHeight="1" x14ac:dyDescent="0.2">
      <c r="A67" s="7">
        <v>-24.48517812</v>
      </c>
      <c r="B67" s="7">
        <v>-80.251818889999996</v>
      </c>
    </row>
    <row r="68" spans="1:2" ht="17.25" customHeight="1" x14ac:dyDescent="0.2">
      <c r="A68" s="7">
        <v>-23.50787596</v>
      </c>
      <c r="B68" s="7">
        <v>-80.164582890000005</v>
      </c>
    </row>
    <row r="69" spans="1:2" ht="17.25" customHeight="1" x14ac:dyDescent="0.2">
      <c r="A69" s="7">
        <v>-22.563443289999999</v>
      </c>
      <c r="B69" s="7">
        <v>-79.852840760000007</v>
      </c>
    </row>
    <row r="70" spans="1:2" ht="17.25" customHeight="1" x14ac:dyDescent="0.2">
      <c r="A70" s="7">
        <v>-21.499446679999998</v>
      </c>
      <c r="B70" s="7">
        <v>-79.386287109999998</v>
      </c>
    </row>
    <row r="71" spans="1:2" ht="17.25" customHeight="1" x14ac:dyDescent="0.2">
      <c r="A71" s="7">
        <v>-20.304231120000001</v>
      </c>
      <c r="B71" s="7">
        <v>-78.916437099999996</v>
      </c>
    </row>
    <row r="72" spans="1:2" ht="17.25" customHeight="1" x14ac:dyDescent="0.2">
      <c r="A72" s="7">
        <v>-19.032539849999999</v>
      </c>
      <c r="B72" s="7">
        <v>-78.219020040000004</v>
      </c>
    </row>
    <row r="73" spans="1:2" ht="17.25" customHeight="1" x14ac:dyDescent="0.2">
      <c r="A73" s="7">
        <v>-17.684726049999998</v>
      </c>
      <c r="B73" s="7">
        <v>-77.179251719999996</v>
      </c>
    </row>
    <row r="74" spans="1:2" ht="17.25" customHeight="1" x14ac:dyDescent="0.2">
      <c r="A74" s="7">
        <v>-16.274563820000001</v>
      </c>
      <c r="B74" s="7">
        <v>-75.749452570000003</v>
      </c>
    </row>
    <row r="75" spans="1:2" ht="17.25" customHeight="1" x14ac:dyDescent="0.2">
      <c r="A75" s="7">
        <v>-14.829248189999999</v>
      </c>
      <c r="B75" s="7">
        <v>-73.949047590000006</v>
      </c>
    </row>
    <row r="76" spans="1:2" ht="17.25" customHeight="1" x14ac:dyDescent="0.2">
      <c r="A76" s="7">
        <v>-13.28659556</v>
      </c>
      <c r="B76" s="7">
        <v>-71.811000449999995</v>
      </c>
    </row>
    <row r="77" spans="1:2" ht="17.25" customHeight="1" x14ac:dyDescent="0.2">
      <c r="A77" s="7">
        <v>-11.71180335</v>
      </c>
      <c r="B77" s="7">
        <v>-69.300699300000005</v>
      </c>
    </row>
    <row r="78" spans="1:2" ht="17.25" customHeight="1" x14ac:dyDescent="0.2">
      <c r="A78" s="7">
        <v>-10.21000212</v>
      </c>
      <c r="B78" s="7">
        <v>-66.487603309999997</v>
      </c>
    </row>
    <row r="79" spans="1:2" ht="17.25" customHeight="1" x14ac:dyDescent="0.2">
      <c r="A79" s="7">
        <v>-8.8639542280000008</v>
      </c>
      <c r="B79" s="7">
        <v>-63.485908029999997</v>
      </c>
    </row>
    <row r="80" spans="1:2" ht="17.25" customHeight="1" x14ac:dyDescent="0.2">
      <c r="A80" s="7">
        <v>-7.7340538250000002</v>
      </c>
      <c r="B80" s="7">
        <v>-60.454545449999998</v>
      </c>
    </row>
    <row r="81" spans="1:2" ht="17.25" customHeight="1" x14ac:dyDescent="0.2">
      <c r="A81" s="7">
        <v>-6.8154976339999997</v>
      </c>
      <c r="B81" s="7">
        <v>-57.575757580000001</v>
      </c>
    </row>
    <row r="82" spans="1:2" ht="17.25" customHeight="1" x14ac:dyDescent="0.2">
      <c r="A82" s="7">
        <v>-6.1109698379999999</v>
      </c>
      <c r="B82" s="7">
        <v>-54.696969699999997</v>
      </c>
    </row>
    <row r="83" spans="1:2" ht="17.25" customHeight="1" x14ac:dyDescent="0.2">
      <c r="A83" s="7">
        <v>-5.6536695630000002</v>
      </c>
      <c r="B83" s="7">
        <v>-51.81818182</v>
      </c>
    </row>
    <row r="84" spans="1:2" ht="17.25" customHeight="1" x14ac:dyDescent="0.2">
      <c r="A84" s="7">
        <v>-5.4320595230000004</v>
      </c>
      <c r="B84" s="7">
        <v>-48.939393940000002</v>
      </c>
    </row>
    <row r="85" spans="1:2" ht="17.25" customHeight="1" x14ac:dyDescent="0.2">
      <c r="A85" s="7">
        <v>-5.389866026</v>
      </c>
      <c r="B85" s="7">
        <v>-46.060606059999998</v>
      </c>
    </row>
    <row r="86" spans="1:2" ht="17.25" customHeight="1" x14ac:dyDescent="0.2">
      <c r="A86" s="7">
        <v>-5.4057356780000001</v>
      </c>
      <c r="B86" s="7">
        <v>-43.18181818</v>
      </c>
    </row>
    <row r="87" spans="1:2" ht="17.25" customHeight="1" x14ac:dyDescent="0.2">
      <c r="A87" s="7">
        <v>-5.5370723550000003</v>
      </c>
      <c r="B87" s="7">
        <v>-40.303030300000003</v>
      </c>
    </row>
    <row r="88" spans="1:2" ht="17.25" customHeight="1" x14ac:dyDescent="0.2">
      <c r="A88" s="7">
        <v>-5.8336276519999997</v>
      </c>
      <c r="B88" s="7">
        <v>-37.424242419999999</v>
      </c>
    </row>
    <row r="89" spans="1:2" ht="17.25" customHeight="1" x14ac:dyDescent="0.2">
      <c r="A89" s="7">
        <v>-6.2985802079999997</v>
      </c>
      <c r="B89" s="7">
        <v>-34.545454550000002</v>
      </c>
    </row>
    <row r="90" spans="1:2" ht="17.25" customHeight="1" x14ac:dyDescent="0.2">
      <c r="A90" s="7">
        <v>-6.9037931769999998</v>
      </c>
      <c r="B90" s="7">
        <v>-31.666666670000001</v>
      </c>
    </row>
    <row r="91" spans="1:2" ht="17.25" customHeight="1" x14ac:dyDescent="0.2">
      <c r="A91" s="7">
        <v>-7.5796425799999998</v>
      </c>
      <c r="B91" s="7">
        <v>-28.787878790000001</v>
      </c>
    </row>
    <row r="92" spans="1:2" ht="17.25" customHeight="1" x14ac:dyDescent="0.2">
      <c r="A92" s="7">
        <v>-8.312778131</v>
      </c>
      <c r="B92" s="7">
        <v>-25.90909091</v>
      </c>
    </row>
    <row r="93" spans="1:2" ht="17.25" customHeight="1" x14ac:dyDescent="0.2">
      <c r="A93" s="7">
        <v>-9.1721409900000008</v>
      </c>
      <c r="B93" s="7">
        <v>-23.030303029999999</v>
      </c>
    </row>
    <row r="94" spans="1:2" ht="17.25" customHeight="1" x14ac:dyDescent="0.2">
      <c r="A94" s="7">
        <v>-10.17609663</v>
      </c>
      <c r="B94" s="7">
        <v>-20.151515150000002</v>
      </c>
    </row>
    <row r="95" spans="1:2" ht="17.25" customHeight="1" x14ac:dyDescent="0.2">
      <c r="A95" s="7">
        <v>-11.316168680000001</v>
      </c>
      <c r="B95" s="7">
        <v>-17.272727270000001</v>
      </c>
    </row>
    <row r="96" spans="1:2" ht="17.25" customHeight="1" x14ac:dyDescent="0.2">
      <c r="A96" s="7">
        <v>-12.55703892</v>
      </c>
      <c r="B96" s="7">
        <v>-14.39393939</v>
      </c>
    </row>
    <row r="97" spans="1:2" ht="17.25" customHeight="1" x14ac:dyDescent="0.2">
      <c r="A97" s="7">
        <v>-13.87066469</v>
      </c>
      <c r="B97" s="7">
        <v>-11.51515152</v>
      </c>
    </row>
    <row r="98" spans="1:2" ht="17.25" customHeight="1" x14ac:dyDescent="0.2">
      <c r="A98" s="7">
        <v>-15.28353465</v>
      </c>
      <c r="B98" s="7">
        <v>-8.6363636360000005</v>
      </c>
    </row>
    <row r="99" spans="1:2" ht="17.25" customHeight="1" x14ac:dyDescent="0.2">
      <c r="A99" s="7">
        <v>-16.795648799999999</v>
      </c>
      <c r="B99" s="7">
        <v>-5.7575757579999998</v>
      </c>
    </row>
    <row r="100" spans="1:2" ht="17.25" customHeight="1" x14ac:dyDescent="0.2">
      <c r="A100" s="7">
        <v>-18.40700713</v>
      </c>
      <c r="B100" s="7">
        <v>-2.8787878789999999</v>
      </c>
    </row>
    <row r="101" spans="1:2" ht="17.25" customHeight="1" x14ac:dyDescent="0.2">
      <c r="A101" s="7">
        <v>-20.117609659999999</v>
      </c>
      <c r="B101" s="6">
        <v>-1.7800000000000001E-14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C2"/>
  <sheetViews>
    <sheetView workbookViewId="0"/>
  </sheetViews>
  <sheetFormatPr baseColWidth="10" defaultColWidth="8.83203125" defaultRowHeight="15" x14ac:dyDescent="0.2"/>
  <cols>
    <col min="1" max="3" width="12.5" style="3" bestFit="1" customWidth="1"/>
  </cols>
  <sheetData>
    <row r="1" spans="1:3" ht="17.25" customHeight="1" x14ac:dyDescent="0.2">
      <c r="A1" s="1" t="s">
        <v>0</v>
      </c>
      <c r="B1" s="1" t="s">
        <v>1</v>
      </c>
      <c r="C1" s="1" t="s">
        <v>2</v>
      </c>
    </row>
    <row r="2" spans="1:3" ht="17.25" customHeight="1" x14ac:dyDescent="0.2">
      <c r="A2" s="2">
        <v>15</v>
      </c>
      <c r="B2" s="2">
        <v>15</v>
      </c>
      <c r="C2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Targets_Info</vt:lpstr>
      <vt:lpstr>Survey_Info</vt:lpstr>
      <vt:lpstr>PowerBudget_Info</vt:lpstr>
      <vt:lpstr>DataBudget_Info</vt:lpstr>
      <vt:lpstr>PlanPropagation_Info</vt:lpstr>
      <vt:lpstr>GroundStations_Info</vt:lpstr>
      <vt:lpstr>SAA_Info</vt:lpstr>
      <vt:lpstr>Constraints_Info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Escobar</cp:lastModifiedBy>
  <dcterms:created xsi:type="dcterms:W3CDTF">2025-04-20T04:48:23Z</dcterms:created>
  <dcterms:modified xsi:type="dcterms:W3CDTF">2025-04-22T19:18:00Z</dcterms:modified>
</cp:coreProperties>
</file>