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"/>
    </mc:Choice>
  </mc:AlternateContent>
  <xr:revisionPtr revIDLastSave="0" documentId="13_ncr:20001_{54E3FF03-BD61-4947-8443-7F986EDDD2EE}" xr6:coauthVersionLast="47" xr6:coauthVersionMax="47" xr10:uidLastSave="{00000000-0000-0000-0000-000000000000}"/>
  <bookViews>
    <workbookView xWindow="780" yWindow="1600" windowWidth="21760" windowHeight="14380" tabRatio="500" xr2:uid="{00000000-000D-0000-FFFF-FFFF00000000}"/>
  </bookViews>
  <sheets>
    <sheet name="PlanPropagation_Info" sheetId="1" r:id="rId1"/>
    <sheet name="Targets_Info" sheetId="2" r:id="rId2"/>
    <sheet name="Survey_Info" sheetId="3" r:id="rId3"/>
    <sheet name="PowerBudget_Info" sheetId="4" r:id="rId4"/>
    <sheet name="DataBudget_Info" sheetId="5" r:id="rId5"/>
    <sheet name="GroundStations_Info" sheetId="6" r:id="rId6"/>
    <sheet name="SAA_Info" sheetId="7" r:id="rId7"/>
    <sheet name="Constraints_Info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2" l="1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A2" i="4"/>
  <c r="G2" i="4"/>
  <c r="C2" i="4"/>
  <c r="E4" i="3"/>
  <c r="F4" i="3" s="1"/>
  <c r="E3" i="3"/>
  <c r="E2" i="3"/>
  <c r="F2" i="3" s="1"/>
  <c r="N6" i="2"/>
  <c r="M6" i="2"/>
  <c r="L6" i="2"/>
  <c r="N5" i="2"/>
  <c r="M5" i="2"/>
  <c r="L5" i="2"/>
  <c r="N4" i="2"/>
  <c r="M4" i="2"/>
  <c r="L4" i="2"/>
  <c r="N3" i="2"/>
  <c r="M3" i="2"/>
  <c r="L3" i="2"/>
  <c r="N2" i="2"/>
  <c r="L2" i="2"/>
</calcChain>
</file>

<file path=xl/sharedStrings.xml><?xml version="1.0" encoding="utf-8"?>
<sst xmlns="http://schemas.openxmlformats.org/spreadsheetml/2006/main" count="124" uniqueCount="82">
  <si>
    <t>TLE URL</t>
  </si>
  <si>
    <t>TLE File</t>
  </si>
  <si>
    <t>Satellite Name</t>
  </si>
  <si>
    <t>Simulation Start Time [YYYY-MM-DD HH:MM:SS UTC]</t>
  </si>
  <si>
    <t>Simulation End Time [YYYY-MM-DD HH:MM:SS UTC]</t>
  </si>
  <si>
    <t>Timestep [sec]</t>
  </si>
  <si>
    <t>cute_tle</t>
  </si>
  <si>
    <t>CUTE</t>
  </si>
  <si>
    <t>Target</t>
  </si>
  <si>
    <t>Pointing</t>
  </si>
  <si>
    <t>HH</t>
  </si>
  <si>
    <t>MM</t>
  </si>
  <si>
    <t>SS</t>
  </si>
  <si>
    <t>dd</t>
  </si>
  <si>
    <t>mm</t>
  </si>
  <si>
    <t>ss</t>
  </si>
  <si>
    <t>Rotation Angle</t>
  </si>
  <si>
    <t>Survey</t>
  </si>
  <si>
    <t>Base Priority</t>
  </si>
  <si>
    <t>Exposure Mode</t>
  </si>
  <si>
    <t>Max Exp. Time [sec]</t>
  </si>
  <si>
    <t>Min Exp. Time [sec]</t>
  </si>
  <si>
    <t>Current Exp. Time [sec]</t>
  </si>
  <si>
    <t>CN Leo</t>
  </si>
  <si>
    <t>MUMS</t>
  </si>
  <si>
    <t>GJ 729</t>
  </si>
  <si>
    <t>HD 217987</t>
  </si>
  <si>
    <t>YZ Cet</t>
  </si>
  <si>
    <t>AX Mic</t>
  </si>
  <si>
    <t>Ross 614</t>
  </si>
  <si>
    <t>GJ 205</t>
  </si>
  <si>
    <t>V1005 Ori</t>
  </si>
  <si>
    <t>GJ 380</t>
  </si>
  <si>
    <t>Eps Eri</t>
  </si>
  <si>
    <t>GJ 879</t>
  </si>
  <si>
    <t>HD 31346</t>
  </si>
  <si>
    <t>HD 72905</t>
  </si>
  <si>
    <t>Pi3 Ori</t>
  </si>
  <si>
    <t>tet Uma</t>
  </si>
  <si>
    <t>tau Boo</t>
  </si>
  <si>
    <t>HD 25457</t>
  </si>
  <si>
    <t>EV Lac</t>
  </si>
  <si>
    <t>JUMP</t>
  </si>
  <si>
    <t>Calibration</t>
  </si>
  <si>
    <t>N Targets</t>
  </si>
  <si>
    <t>Pointings Per Target</t>
  </si>
  <si>
    <t>ExpTime Per Pointing [s]</t>
  </si>
  <si>
    <t>ExpTime Per Target [s]</t>
  </si>
  <si>
    <t>Total ExpTime</t>
  </si>
  <si>
    <t>Obs Mode</t>
  </si>
  <si>
    <t>Repeat Targets</t>
  </si>
  <si>
    <t>SurveyPriority</t>
  </si>
  <si>
    <t>Minimum ExpTime [s]</t>
  </si>
  <si>
    <t>TTAG</t>
  </si>
  <si>
    <t>Initial Charge [J]</t>
  </si>
  <si>
    <t>Maximum Charge [J]</t>
  </si>
  <si>
    <t>Charging [W]</t>
  </si>
  <si>
    <t>Pointing [W]</t>
  </si>
  <si>
    <t>Observation [W]</t>
  </si>
  <si>
    <t>Downlink [W]</t>
  </si>
  <si>
    <t>Idle [W]</t>
  </si>
  <si>
    <t>Initial Data Size Stored [MB]</t>
  </si>
  <si>
    <t>Dangerous Data Size Stored [MB]</t>
  </si>
  <si>
    <t>ACCUM File Size [MB]</t>
  </si>
  <si>
    <t>TTAG File Size [MB/s]</t>
  </si>
  <si>
    <t>Downlink Data Rate [MB/s]</t>
  </si>
  <si>
    <t>Name</t>
  </si>
  <si>
    <t>Latitude</t>
  </si>
  <si>
    <t>Longitude</t>
  </si>
  <si>
    <t>Altitude [m]</t>
  </si>
  <si>
    <t>Elevation Constraint [deg]</t>
  </si>
  <si>
    <t>LASP</t>
  </si>
  <si>
    <t>US East</t>
  </si>
  <si>
    <t xml:space="preserve">US West </t>
  </si>
  <si>
    <t>Dublin</t>
  </si>
  <si>
    <t>Polar Constraint</t>
  </si>
  <si>
    <t>Earth Angle Constraint</t>
  </si>
  <si>
    <t>Moon Angle Constraint</t>
  </si>
  <si>
    <t>Yes</t>
  </si>
  <si>
    <t>A</t>
  </si>
  <si>
    <t>https://celestrak.org/NORAD/elements/gp.php?CATNR=49263&amp;FORMAT=tle</t>
  </si>
  <si>
    <t>Sun Angle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</si>
</sst>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00"/>
    <numFmt numFmtId="166" formatCode="00.000"/>
  </numFmts>
  <fonts count="7" x14ac:knownFonts="1">
    <font>
      <sz val="11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sz val="14"/>
      <color rgb="FF000000"/>
      <name val="Aptos Narrow"/>
    </font>
    <font>
      <b/>
      <sz val="14"/>
      <color rgb="FF000000"/>
      <name val="Aptos Narrow"/>
    </font>
    <font>
      <sz val="14"/>
      <color rgb="FF000000"/>
      <name val="Arial"/>
      <family val="2"/>
      <charset val="1"/>
    </font>
    <font>
      <u/>
      <sz val="11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0" xfId="0" applyFont="1" applyFill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 applyAlignment="1">
      <alignment horizontal="left"/>
    </xf>
    <xf numFmtId="11" fontId="3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2" borderId="0" xfId="0" applyFont="1" applyFill="1"/>
    <xf numFmtId="11" fontId="0" fillId="0" borderId="0" xfId="0" applyNumberFormat="1"/>
    <xf numFmtId="165" fontId="4" fillId="2" borderId="1" xfId="0" applyNumberFormat="1" applyFont="1" applyFill="1" applyBorder="1" applyAlignment="1">
      <alignment horizontal="left"/>
    </xf>
    <xf numFmtId="166" fontId="4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65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2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6" fillId="0" borderId="0" xfId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am10.safelinks.protection.outlook.com/?url=https%3A%2F%2Fcelestrak.org%2FNORAD%2Felements%2Fgp.php%3FCATNR%3D49263%26FORMAT%3Dtle&amp;data=05%7C02%7CSebastian.Escobar%40lasp.colorado.edu%7Cc8b62e77ac294876c08408de9c9ed44c%7Cb1ddd7831dbc446b878fa7b03478ea9e%7C1%7C0%7C639120403139812220%7CUnknown%7CTWFpbGZsb3d8eyJFbXB0eU1hcGkiOnRydWUsIlYiOiIwLjAuMDAwMCIsIlAiOiJXaW4zMiIsIkFOIjoiTWFpbCIsIldUIjoyfQ%3D%3D%7C0%7C%7C%7C&amp;sdata=u3QfNw08NJ2Lc8RuYxyuN00h4d4s%2FdYbxVHUa8yHL4o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tabSelected="1" topLeftCell="C1" zoomScaleNormal="100" workbookViewId="0">
      <selection activeCell="E10" sqref="E10"/>
    </sheetView>
  </sheetViews>
  <sheetFormatPr baseColWidth="10" defaultColWidth="23.6640625" defaultRowHeight="19" x14ac:dyDescent="0.25"/>
  <cols>
    <col min="1" max="1" width="77.6640625" style="1" customWidth="1"/>
    <col min="2" max="2" width="8.83203125" style="1" customWidth="1"/>
    <col min="3" max="3" width="16" style="1" customWidth="1"/>
    <col min="4" max="4" width="54.5" style="1" customWidth="1"/>
    <col min="5" max="5" width="53.33203125" style="1" customWidth="1"/>
    <col min="6" max="6" width="16" style="1" customWidth="1"/>
    <col min="7" max="1024" width="23.6640625" style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1" t="s">
        <v>80</v>
      </c>
      <c r="B2" s="4" t="s">
        <v>6</v>
      </c>
      <c r="C2" s="4" t="s">
        <v>7</v>
      </c>
      <c r="D2" s="5">
        <v>46115.020833333336</v>
      </c>
      <c r="E2" s="5">
        <v>46120</v>
      </c>
      <c r="F2" s="4">
        <v>6</v>
      </c>
    </row>
  </sheetData>
  <hyperlinks>
    <hyperlink ref="A2" r:id="rId1" tooltip="https://nam10.safelinks.protection.outlook.com/?url=https%3A%2F%2Fcelestrak.org%2FNORAD%2Felements%2Fgp.php%3FCATNR%3D49263%26FORMAT%3Dtle&amp;data=05%7C02%7CSebastian.Escobar%40lasp.colorado.edu%7Cc8b62e77ac294876c08408de9c9ed44c%7Cb1ddd7831dbc446b878fa7b034" display="https://nam10.safelinks.protection.outlook.com/?url=https%3A%2F%2Fcelestrak.org%2FNORAD%2Felements%2Fgp.php%3FCATNR%3D49263%26FORMAT%3Dtle&amp;data=05%7C02%7CSebastian.Escobar%40lasp.colorado.edu%7Cc8b62e77ac294876c08408de9c9ed44c%7Cb1ddd7831dbc446b878fa7b03478ea9e%7C1%7C0%7C639120403139812220%7CUnknown%7CTWFpbGZsb3d8eyJFbXB0eU1hcGkiOnRydWUsIlYiOiIwLjAuMDAwMCIsIlAiOiJXaW4zMiIsIkFOIjoiTWFpbCIsIldUIjoyfQ%3D%3D%7C0%7C%7C%7C&amp;sdata=u3QfNw08NJ2Lc8RuYxyuN00h4d4s%2FdYbxVHUa8yHL4o%3D&amp;reserved=0" xr:uid="{1D51D9A4-B8BF-6D47-8F6C-DF94280B8DEE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6"/>
  <sheetViews>
    <sheetView topLeftCell="G1" zoomScaleNormal="100" workbookViewId="0">
      <selection activeCell="M2" sqref="M2"/>
    </sheetView>
  </sheetViews>
  <sheetFormatPr baseColWidth="10" defaultColWidth="8.83203125" defaultRowHeight="19" x14ac:dyDescent="0.25"/>
  <cols>
    <col min="1" max="1" width="20" style="6" customWidth="1"/>
    <col min="2" max="2" width="10.33203125" style="6" customWidth="1"/>
    <col min="3" max="3" width="11" style="27" customWidth="1"/>
    <col min="4" max="4" width="9.33203125" style="27" customWidth="1"/>
    <col min="5" max="5" width="10.5" style="28" customWidth="1"/>
    <col min="6" max="6" width="10.5" style="27" customWidth="1"/>
    <col min="7" max="7" width="10.83203125" style="27" customWidth="1"/>
    <col min="8" max="8" width="10.5" style="28" customWidth="1"/>
    <col min="9" max="9" width="15.5" style="6" customWidth="1"/>
    <col min="10" max="10" width="39.1640625" style="6" customWidth="1"/>
    <col min="11" max="11" width="13.6640625" style="6" customWidth="1"/>
    <col min="12" max="12" width="16.83203125" style="26" customWidth="1"/>
    <col min="13" max="13" width="21.33203125" style="6" customWidth="1"/>
    <col min="14" max="14" width="21" style="6" customWidth="1"/>
    <col min="15" max="15" width="24.1640625" style="6" customWidth="1"/>
    <col min="16" max="1024" width="8.83203125" style="6"/>
    <col min="1025" max="16384" width="8.83203125" style="26"/>
  </cols>
  <sheetData>
    <row r="1" spans="1:15" s="23" customFormat="1" x14ac:dyDescent="0.25">
      <c r="A1" s="8" t="s">
        <v>8</v>
      </c>
      <c r="B1" s="9" t="s">
        <v>9</v>
      </c>
      <c r="C1" s="20" t="s">
        <v>10</v>
      </c>
      <c r="D1" s="20" t="s">
        <v>11</v>
      </c>
      <c r="E1" s="21" t="s">
        <v>12</v>
      </c>
      <c r="F1" s="20" t="s">
        <v>13</v>
      </c>
      <c r="G1" s="20" t="s">
        <v>14</v>
      </c>
      <c r="H1" s="21" t="s">
        <v>15</v>
      </c>
      <c r="I1" s="9" t="s">
        <v>16</v>
      </c>
      <c r="J1" s="9" t="s">
        <v>17</v>
      </c>
      <c r="K1" s="9" t="s">
        <v>18</v>
      </c>
      <c r="L1" s="9" t="s">
        <v>19</v>
      </c>
      <c r="M1" s="22" t="s">
        <v>20</v>
      </c>
      <c r="N1" s="9" t="s">
        <v>21</v>
      </c>
      <c r="O1" s="9" t="s">
        <v>22</v>
      </c>
    </row>
    <row r="2" spans="1:15" x14ac:dyDescent="0.25">
      <c r="A2" s="12" t="s">
        <v>23</v>
      </c>
      <c r="B2" s="12" t="s">
        <v>79</v>
      </c>
      <c r="C2" s="24">
        <v>10</v>
      </c>
      <c r="D2" s="24">
        <v>56</v>
      </c>
      <c r="E2" s="25">
        <v>32.393885826175598</v>
      </c>
      <c r="F2" s="24">
        <v>7</v>
      </c>
      <c r="G2" s="24">
        <v>1</v>
      </c>
      <c r="H2" s="25">
        <v>4.63830791976548</v>
      </c>
      <c r="I2" s="12">
        <v>0</v>
      </c>
      <c r="J2" s="12" t="s">
        <v>24</v>
      </c>
      <c r="K2" s="12">
        <v>1</v>
      </c>
      <c r="L2" s="12" t="str">
        <f>LOOKUP(J2,Survey_Info!A:A,Survey_Info!G:G)</f>
        <v>TTAG</v>
      </c>
      <c r="M2" s="12">
        <f>LOOKUP(J2,Survey_Info!A:A,Survey_Info!D:D)</f>
        <v>10000</v>
      </c>
      <c r="N2" s="12">
        <f>LOOKUP(J2,Survey_Info!A:A, Survey_Info!J:J)</f>
        <v>1000</v>
      </c>
      <c r="O2" s="12">
        <v>0</v>
      </c>
    </row>
    <row r="3" spans="1:15" x14ac:dyDescent="0.25">
      <c r="A3" s="12" t="s">
        <v>25</v>
      </c>
      <c r="B3" s="12" t="s">
        <v>79</v>
      </c>
      <c r="C3" s="24">
        <v>18</v>
      </c>
      <c r="D3" s="24">
        <v>49</v>
      </c>
      <c r="E3" s="25">
        <v>49.210696013120099</v>
      </c>
      <c r="F3" s="24">
        <v>-23</v>
      </c>
      <c r="G3" s="24">
        <v>50</v>
      </c>
      <c r="H3" s="25">
        <v>7.3612248625721604</v>
      </c>
      <c r="I3" s="12">
        <v>0</v>
      </c>
      <c r="J3" s="12" t="s">
        <v>24</v>
      </c>
      <c r="K3" s="12">
        <v>1</v>
      </c>
      <c r="L3" s="12" t="str">
        <f>LOOKUP(J3,Survey_Info!A:A,Survey_Info!G:G)</f>
        <v>TTAG</v>
      </c>
      <c r="M3" s="12">
        <f>LOOKUP(J3,Survey_Info!A:A,Survey_Info!D:D)</f>
        <v>10000</v>
      </c>
      <c r="N3" s="12">
        <f>LOOKUP(J3,Survey_Info!A:A, Survey_Info!J:J)</f>
        <v>1000</v>
      </c>
      <c r="O3" s="12">
        <v>0</v>
      </c>
    </row>
    <row r="4" spans="1:15" x14ac:dyDescent="0.25">
      <c r="A4" s="12" t="s">
        <v>26</v>
      </c>
      <c r="B4" s="12" t="s">
        <v>79</v>
      </c>
      <c r="C4" s="24">
        <v>23</v>
      </c>
      <c r="D4" s="24">
        <v>5</v>
      </c>
      <c r="E4" s="25">
        <v>51.434423615327802</v>
      </c>
      <c r="F4" s="24">
        <v>-35</v>
      </c>
      <c r="G4" s="24">
        <v>50</v>
      </c>
      <c r="H4" s="25">
        <v>59.856355732299001</v>
      </c>
      <c r="I4" s="12">
        <v>0</v>
      </c>
      <c r="J4" s="12" t="s">
        <v>24</v>
      </c>
      <c r="K4" s="12">
        <v>1</v>
      </c>
      <c r="L4" s="12" t="str">
        <f>LOOKUP(J4,Survey_Info!A:A,Survey_Info!G:G)</f>
        <v>TTAG</v>
      </c>
      <c r="M4" s="12">
        <f>LOOKUP(J4,Survey_Info!A:A,Survey_Info!D:D)</f>
        <v>10000</v>
      </c>
      <c r="N4" s="12">
        <f>LOOKUP(J4,Survey_Info!A:A, Survey_Info!J:J)</f>
        <v>1000</v>
      </c>
      <c r="O4" s="12">
        <v>0</v>
      </c>
    </row>
    <row r="5" spans="1:15" x14ac:dyDescent="0.25">
      <c r="A5" s="12" t="s">
        <v>27</v>
      </c>
      <c r="B5" s="12" t="s">
        <v>79</v>
      </c>
      <c r="C5" s="24">
        <v>1</v>
      </c>
      <c r="D5" s="24">
        <v>12</v>
      </c>
      <c r="E5" s="25">
        <v>31.981020890259401</v>
      </c>
      <c r="F5" s="24">
        <v>-16</v>
      </c>
      <c r="G5" s="24">
        <v>59</v>
      </c>
      <c r="H5" s="25">
        <v>46.157540925243801</v>
      </c>
      <c r="I5" s="12">
        <v>0</v>
      </c>
      <c r="J5" s="12" t="s">
        <v>24</v>
      </c>
      <c r="K5" s="12">
        <v>1</v>
      </c>
      <c r="L5" s="12" t="str">
        <f>LOOKUP(J5,Survey_Info!A:A,Survey_Info!G:G)</f>
        <v>TTAG</v>
      </c>
      <c r="M5" s="12">
        <f>LOOKUP(J5,Survey_Info!A:A,Survey_Info!D:D)</f>
        <v>10000</v>
      </c>
      <c r="N5" s="12">
        <f>LOOKUP(J5,Survey_Info!A:A, Survey_Info!J:J)</f>
        <v>1000</v>
      </c>
      <c r="O5" s="12">
        <v>0</v>
      </c>
    </row>
    <row r="6" spans="1:15" x14ac:dyDescent="0.25">
      <c r="A6" s="12" t="s">
        <v>28</v>
      </c>
      <c r="B6" s="12" t="s">
        <v>79</v>
      </c>
      <c r="C6" s="24">
        <v>21</v>
      </c>
      <c r="D6" s="24">
        <v>17</v>
      </c>
      <c r="E6" s="25">
        <v>15.078769011376201</v>
      </c>
      <c r="F6" s="24">
        <v>-38</v>
      </c>
      <c r="G6" s="24">
        <v>51</v>
      </c>
      <c r="H6" s="25">
        <v>51.824437783408797</v>
      </c>
      <c r="I6" s="12">
        <v>0</v>
      </c>
      <c r="J6" s="12" t="s">
        <v>24</v>
      </c>
      <c r="K6" s="12">
        <v>1</v>
      </c>
      <c r="L6" s="12" t="str">
        <f>LOOKUP(J6,Survey_Info!A:A,Survey_Info!G:G)</f>
        <v>TTAG</v>
      </c>
      <c r="M6" s="12">
        <f>LOOKUP(J6,Survey_Info!A:A,Survey_Info!D:D)</f>
        <v>10000</v>
      </c>
      <c r="N6" s="12">
        <f>LOOKUP(J6,Survey_Info!A:A, Survey_Info!J:J)</f>
        <v>1000</v>
      </c>
      <c r="O6" s="12">
        <v>0</v>
      </c>
    </row>
    <row r="7" spans="1:15" x14ac:dyDescent="0.25">
      <c r="A7" s="12" t="s">
        <v>29</v>
      </c>
      <c r="B7" s="12" t="s">
        <v>79</v>
      </c>
      <c r="C7" s="24">
        <v>6</v>
      </c>
      <c r="D7" s="24">
        <v>29</v>
      </c>
      <c r="E7" s="25">
        <v>23.699547247678399</v>
      </c>
      <c r="F7" s="24">
        <v>-2</v>
      </c>
      <c r="G7" s="24">
        <v>48</v>
      </c>
      <c r="H7" s="25">
        <v>38.3026274148</v>
      </c>
      <c r="I7" s="12">
        <v>0</v>
      </c>
      <c r="J7" s="12" t="s">
        <v>24</v>
      </c>
      <c r="K7" s="12">
        <v>1</v>
      </c>
      <c r="L7" s="12" t="str">
        <f>LOOKUP(J7,Survey_Info!A:A,Survey_Info!G:G)</f>
        <v>TTAG</v>
      </c>
      <c r="M7" s="12">
        <f>LOOKUP(J7,Survey_Info!A:A,Survey_Info!D:D)</f>
        <v>10000</v>
      </c>
      <c r="N7" s="12">
        <f>LOOKUP(J7,Survey_Info!A:A, Survey_Info!J:J)</f>
        <v>1000</v>
      </c>
      <c r="O7" s="12">
        <v>0</v>
      </c>
    </row>
    <row r="8" spans="1:15" x14ac:dyDescent="0.25">
      <c r="A8" s="12" t="s">
        <v>30</v>
      </c>
      <c r="B8" s="12" t="s">
        <v>79</v>
      </c>
      <c r="C8" s="24">
        <v>5</v>
      </c>
      <c r="D8" s="24">
        <v>31</v>
      </c>
      <c r="E8" s="25">
        <v>27.547598227848098</v>
      </c>
      <c r="F8" s="24">
        <v>-3</v>
      </c>
      <c r="G8" s="24">
        <v>40</v>
      </c>
      <c r="H8" s="25">
        <v>51.948487452882098</v>
      </c>
      <c r="I8" s="12">
        <v>0</v>
      </c>
      <c r="J8" s="12" t="s">
        <v>24</v>
      </c>
      <c r="K8" s="12">
        <v>1</v>
      </c>
      <c r="L8" s="12" t="str">
        <f>LOOKUP(J8,Survey_Info!A:A,Survey_Info!G:G)</f>
        <v>TTAG</v>
      </c>
      <c r="M8" s="12">
        <f>LOOKUP(J8,Survey_Info!A:A,Survey_Info!D:D)</f>
        <v>10000</v>
      </c>
      <c r="N8" s="12">
        <f>LOOKUP(J8,Survey_Info!A:A, Survey_Info!J:J)</f>
        <v>1000</v>
      </c>
      <c r="O8" s="12">
        <v>0</v>
      </c>
    </row>
    <row r="9" spans="1:15" x14ac:dyDescent="0.25">
      <c r="A9" s="12" t="s">
        <v>31</v>
      </c>
      <c r="B9" s="12" t="s">
        <v>79</v>
      </c>
      <c r="C9" s="24">
        <v>4</v>
      </c>
      <c r="D9" s="24">
        <v>59</v>
      </c>
      <c r="E9" s="25">
        <v>34.876047408282197</v>
      </c>
      <c r="F9" s="24">
        <v>1</v>
      </c>
      <c r="G9" s="24">
        <v>46</v>
      </c>
      <c r="H9" s="25">
        <v>59.151394152070097</v>
      </c>
      <c r="I9" s="12">
        <v>0</v>
      </c>
      <c r="J9" s="12" t="s">
        <v>24</v>
      </c>
      <c r="K9" s="12">
        <v>1</v>
      </c>
      <c r="L9" s="12" t="str">
        <f>LOOKUP(J9,Survey_Info!A:A,Survey_Info!G:G)</f>
        <v>TTAG</v>
      </c>
      <c r="M9" s="12">
        <f>LOOKUP(J9,Survey_Info!A:A,Survey_Info!D:D)</f>
        <v>10000</v>
      </c>
      <c r="N9" s="12">
        <f>LOOKUP(J9,Survey_Info!A:A, Survey_Info!J:J)</f>
        <v>1000</v>
      </c>
      <c r="O9" s="12">
        <v>0</v>
      </c>
    </row>
    <row r="10" spans="1:15" x14ac:dyDescent="0.25">
      <c r="A10" s="12" t="s">
        <v>32</v>
      </c>
      <c r="B10" s="12" t="s">
        <v>79</v>
      </c>
      <c r="C10" s="24">
        <v>10</v>
      </c>
      <c r="D10" s="24">
        <v>11</v>
      </c>
      <c r="E10" s="25">
        <v>19.9029499757054</v>
      </c>
      <c r="F10" s="24">
        <v>49</v>
      </c>
      <c r="G10" s="24">
        <v>27</v>
      </c>
      <c r="H10" s="25">
        <v>7.1600295618213803</v>
      </c>
      <c r="I10" s="12">
        <v>0</v>
      </c>
      <c r="J10" s="12" t="s">
        <v>24</v>
      </c>
      <c r="K10" s="12">
        <v>1</v>
      </c>
      <c r="L10" s="12" t="str">
        <f>LOOKUP(J10,Survey_Info!A:A,Survey_Info!G:G)</f>
        <v>TTAG</v>
      </c>
      <c r="M10" s="12">
        <f>LOOKUP(J10,Survey_Info!A:A,Survey_Info!D:D)</f>
        <v>10000</v>
      </c>
      <c r="N10" s="12">
        <f>LOOKUP(J10,Survey_Info!A:A, Survey_Info!J:J)</f>
        <v>1000</v>
      </c>
      <c r="O10" s="12">
        <v>0</v>
      </c>
    </row>
    <row r="11" spans="1:15" x14ac:dyDescent="0.25">
      <c r="A11" s="12" t="s">
        <v>33</v>
      </c>
      <c r="B11" s="12" t="s">
        <v>79</v>
      </c>
      <c r="C11" s="24">
        <v>3</v>
      </c>
      <c r="D11" s="24">
        <v>32</v>
      </c>
      <c r="E11" s="25">
        <v>54.790419642112802</v>
      </c>
      <c r="F11" s="24">
        <v>-9</v>
      </c>
      <c r="G11" s="24">
        <v>27</v>
      </c>
      <c r="H11" s="25">
        <v>29.405578652357502</v>
      </c>
      <c r="I11" s="12">
        <v>0</v>
      </c>
      <c r="J11" s="12" t="s">
        <v>24</v>
      </c>
      <c r="K11" s="12">
        <v>1</v>
      </c>
      <c r="L11" s="12" t="str">
        <f>LOOKUP(J11,Survey_Info!A:A,Survey_Info!G:G)</f>
        <v>TTAG</v>
      </c>
      <c r="M11" s="12">
        <f>LOOKUP(J11,Survey_Info!A:A,Survey_Info!D:D)</f>
        <v>10000</v>
      </c>
      <c r="N11" s="12">
        <f>LOOKUP(J11,Survey_Info!A:A, Survey_Info!J:J)</f>
        <v>1000</v>
      </c>
      <c r="O11" s="12">
        <v>0</v>
      </c>
    </row>
    <row r="12" spans="1:15" x14ac:dyDescent="0.25">
      <c r="A12" s="12" t="s">
        <v>34</v>
      </c>
      <c r="B12" s="12" t="s">
        <v>79</v>
      </c>
      <c r="C12" s="24">
        <v>22</v>
      </c>
      <c r="D12" s="24">
        <v>56</v>
      </c>
      <c r="E12" s="25">
        <v>24.465936417414898</v>
      </c>
      <c r="F12" s="24">
        <v>-31</v>
      </c>
      <c r="G12" s="24">
        <v>33</v>
      </c>
      <c r="H12" s="25">
        <v>58.568263683806997</v>
      </c>
      <c r="I12" s="12">
        <v>0</v>
      </c>
      <c r="J12" s="12" t="s">
        <v>24</v>
      </c>
      <c r="K12" s="12">
        <v>1</v>
      </c>
      <c r="L12" s="12" t="str">
        <f>LOOKUP(J12,Survey_Info!A:A,Survey_Info!G:G)</f>
        <v>TTAG</v>
      </c>
      <c r="M12" s="12">
        <f>LOOKUP(J12,Survey_Info!A:A,Survey_Info!D:D)</f>
        <v>10000</v>
      </c>
      <c r="N12" s="12">
        <f>LOOKUP(J12,Survey_Info!A:A, Survey_Info!J:J)</f>
        <v>1000</v>
      </c>
      <c r="O12" s="12">
        <v>0</v>
      </c>
    </row>
    <row r="13" spans="1:15" x14ac:dyDescent="0.25">
      <c r="A13" s="12" t="s">
        <v>35</v>
      </c>
      <c r="B13" s="12" t="s">
        <v>79</v>
      </c>
      <c r="C13" s="24">
        <v>4</v>
      </c>
      <c r="D13" s="24">
        <v>54</v>
      </c>
      <c r="E13" s="25">
        <v>32.059326728227497</v>
      </c>
      <c r="F13" s="24">
        <v>-11</v>
      </c>
      <c r="G13" s="24">
        <v>54</v>
      </c>
      <c r="H13" s="25">
        <v>49.132256646964699</v>
      </c>
      <c r="I13" s="12">
        <v>0</v>
      </c>
      <c r="J13" s="12" t="s">
        <v>24</v>
      </c>
      <c r="K13" s="12">
        <v>1</v>
      </c>
      <c r="L13" s="12" t="str">
        <f>LOOKUP(J13,Survey_Info!A:A,Survey_Info!G:G)</f>
        <v>TTAG</v>
      </c>
      <c r="M13" s="12">
        <f>LOOKUP(J13,Survey_Info!A:A,Survey_Info!D:D)</f>
        <v>10000</v>
      </c>
      <c r="N13" s="12">
        <f>LOOKUP(J13,Survey_Info!A:A, Survey_Info!J:J)</f>
        <v>1000</v>
      </c>
      <c r="O13" s="12">
        <v>0</v>
      </c>
    </row>
    <row r="14" spans="1:15" x14ac:dyDescent="0.25">
      <c r="A14" s="12" t="s">
        <v>36</v>
      </c>
      <c r="B14" s="12" t="s">
        <v>79</v>
      </c>
      <c r="C14" s="24">
        <v>8</v>
      </c>
      <c r="D14" s="24">
        <v>39</v>
      </c>
      <c r="E14" s="25">
        <v>11.635719032826399</v>
      </c>
      <c r="F14" s="24">
        <v>65</v>
      </c>
      <c r="G14" s="24">
        <v>1</v>
      </c>
      <c r="H14" s="25">
        <v>16.6691960703326</v>
      </c>
      <c r="I14" s="12">
        <v>0</v>
      </c>
      <c r="J14" s="12" t="s">
        <v>24</v>
      </c>
      <c r="K14" s="12">
        <v>1</v>
      </c>
      <c r="L14" s="12" t="str">
        <f>LOOKUP(J14,Survey_Info!A:A,Survey_Info!G:G)</f>
        <v>TTAG</v>
      </c>
      <c r="M14" s="12">
        <f>LOOKUP(J14,Survey_Info!A:A,Survey_Info!D:D)</f>
        <v>10000</v>
      </c>
      <c r="N14" s="12">
        <f>LOOKUP(J14,Survey_Info!A:A, Survey_Info!J:J)</f>
        <v>1000</v>
      </c>
      <c r="O14" s="12">
        <v>0</v>
      </c>
    </row>
    <row r="15" spans="1:15" x14ac:dyDescent="0.25">
      <c r="A15" s="12" t="s">
        <v>37</v>
      </c>
      <c r="B15" s="12" t="s">
        <v>79</v>
      </c>
      <c r="C15" s="24">
        <v>4</v>
      </c>
      <c r="D15" s="24">
        <v>49</v>
      </c>
      <c r="E15" s="25">
        <v>50.909765085849003</v>
      </c>
      <c r="F15" s="24">
        <v>6</v>
      </c>
      <c r="G15" s="24">
        <v>57</v>
      </c>
      <c r="H15" s="25">
        <v>40.7916307348722</v>
      </c>
      <c r="I15" s="12">
        <v>0</v>
      </c>
      <c r="J15" s="12" t="s">
        <v>24</v>
      </c>
      <c r="K15" s="12">
        <v>1</v>
      </c>
      <c r="L15" s="12" t="str">
        <f>LOOKUP(J15,Survey_Info!A:A,Survey_Info!G:G)</f>
        <v>TTAG</v>
      </c>
      <c r="M15" s="12">
        <f>LOOKUP(J15,Survey_Info!A:A,Survey_Info!D:D)</f>
        <v>10000</v>
      </c>
      <c r="N15" s="12">
        <f>LOOKUP(J15,Survey_Info!A:A, Survey_Info!J:J)</f>
        <v>1000</v>
      </c>
      <c r="O15" s="12">
        <v>0</v>
      </c>
    </row>
    <row r="16" spans="1:15" x14ac:dyDescent="0.25">
      <c r="A16" s="14" t="s">
        <v>38</v>
      </c>
      <c r="B16" s="12" t="s">
        <v>79</v>
      </c>
      <c r="C16" s="14">
        <v>9</v>
      </c>
      <c r="D16" s="14">
        <v>32</v>
      </c>
      <c r="E16" s="14">
        <v>49.809547494094197</v>
      </c>
      <c r="F16" s="14">
        <v>51</v>
      </c>
      <c r="G16" s="14">
        <v>40</v>
      </c>
      <c r="H16" s="14">
        <v>29.661747492156099</v>
      </c>
      <c r="I16" s="12">
        <v>0</v>
      </c>
      <c r="J16" s="12" t="s">
        <v>24</v>
      </c>
      <c r="K16" s="12">
        <v>1</v>
      </c>
      <c r="L16" s="12" t="str">
        <f>LOOKUP(J16,Survey_Info!A:A,Survey_Info!G:G)</f>
        <v>TTAG</v>
      </c>
      <c r="M16" s="12">
        <f>LOOKUP(J16,Survey_Info!A:A,Survey_Info!D:D)</f>
        <v>10000</v>
      </c>
      <c r="N16" s="12">
        <f>LOOKUP(J16,Survey_Info!A:A, Survey_Info!J:J)</f>
        <v>1000</v>
      </c>
      <c r="O16" s="12">
        <v>0</v>
      </c>
    </row>
    <row r="17" spans="1:15" x14ac:dyDescent="0.25">
      <c r="A17" s="14" t="s">
        <v>39</v>
      </c>
      <c r="B17" s="12" t="s">
        <v>79</v>
      </c>
      <c r="C17" s="14">
        <v>13</v>
      </c>
      <c r="D17" s="14">
        <v>47</v>
      </c>
      <c r="E17" s="14">
        <v>15.2138386806814</v>
      </c>
      <c r="F17" s="14">
        <v>17</v>
      </c>
      <c r="G17" s="14">
        <v>27</v>
      </c>
      <c r="H17" s="14">
        <v>25.825095813872</v>
      </c>
      <c r="I17" s="12">
        <v>0</v>
      </c>
      <c r="J17" s="12" t="s">
        <v>24</v>
      </c>
      <c r="K17" s="12">
        <v>1</v>
      </c>
      <c r="L17" s="12" t="str">
        <f>LOOKUP(J17,Survey_Info!A:A,Survey_Info!G:G)</f>
        <v>TTAG</v>
      </c>
      <c r="M17" s="12">
        <f>LOOKUP(J17,Survey_Info!A:A,Survey_Info!D:D)</f>
        <v>10000</v>
      </c>
      <c r="N17" s="12">
        <f>LOOKUP(J17,Survey_Info!A:A, Survey_Info!J:J)</f>
        <v>1000</v>
      </c>
      <c r="O17" s="12">
        <v>0</v>
      </c>
    </row>
    <row r="18" spans="1:15" x14ac:dyDescent="0.25">
      <c r="A18" s="14" t="s">
        <v>40</v>
      </c>
      <c r="B18" s="12" t="s">
        <v>79</v>
      </c>
      <c r="C18" s="14">
        <v>4</v>
      </c>
      <c r="D18" s="14">
        <v>2</v>
      </c>
      <c r="E18" s="14">
        <v>36.904305187416099</v>
      </c>
      <c r="F18" s="14">
        <v>0</v>
      </c>
      <c r="G18" s="14">
        <v>16</v>
      </c>
      <c r="H18" s="14">
        <v>12.1454138384949</v>
      </c>
      <c r="I18" s="12">
        <v>0</v>
      </c>
      <c r="J18" s="12" t="s">
        <v>24</v>
      </c>
      <c r="K18" s="12">
        <v>1</v>
      </c>
      <c r="L18" s="12" t="str">
        <f>LOOKUP(J18,Survey_Info!A:A,Survey_Info!G:G)</f>
        <v>TTAG</v>
      </c>
      <c r="M18" s="12">
        <f>LOOKUP(J18,Survey_Info!A:A,Survey_Info!D:D)</f>
        <v>10000</v>
      </c>
      <c r="N18" s="12">
        <f>LOOKUP(J18,Survey_Info!A:A, Survey_Info!J:J)</f>
        <v>1000</v>
      </c>
      <c r="O18" s="12">
        <v>0</v>
      </c>
    </row>
    <row r="19" spans="1:15" x14ac:dyDescent="0.25">
      <c r="A19" s="14" t="s">
        <v>41</v>
      </c>
      <c r="B19" s="12" t="s">
        <v>79</v>
      </c>
      <c r="C19" s="14">
        <v>22</v>
      </c>
      <c r="D19" s="14">
        <v>46</v>
      </c>
      <c r="E19" s="14">
        <v>49.283184772419901</v>
      </c>
      <c r="F19" s="14">
        <v>44</v>
      </c>
      <c r="G19" s="14">
        <v>19</v>
      </c>
      <c r="H19" s="14">
        <v>59.560595522098097</v>
      </c>
      <c r="I19" s="12">
        <v>0</v>
      </c>
      <c r="J19" s="12" t="s">
        <v>24</v>
      </c>
      <c r="K19" s="12">
        <v>1</v>
      </c>
      <c r="L19" s="12" t="str">
        <f>LOOKUP(J19,Survey_Info!A:A,Survey_Info!G:G)</f>
        <v>TTAG</v>
      </c>
      <c r="M19" s="12">
        <f>LOOKUP(J19,Survey_Info!A:A,Survey_Info!D:D)</f>
        <v>10000</v>
      </c>
      <c r="N19" s="12">
        <f>LOOKUP(J19,Survey_Info!A:A, Survey_Info!J:J)</f>
        <v>1000</v>
      </c>
      <c r="O19" s="12">
        <v>0</v>
      </c>
    </row>
    <row r="20" spans="1:15" x14ac:dyDescent="0.25">
      <c r="A20" s="14"/>
      <c r="B20" s="12"/>
      <c r="C20" s="14"/>
      <c r="D20" s="14"/>
      <c r="E20" s="14"/>
      <c r="F20" s="14"/>
      <c r="G20" s="14"/>
      <c r="H20" s="14"/>
      <c r="I20" s="12"/>
      <c r="J20" s="12"/>
      <c r="K20" s="12"/>
      <c r="L20" s="12"/>
      <c r="M20" s="12"/>
      <c r="N20" s="12"/>
      <c r="O20" s="12"/>
    </row>
    <row r="21" spans="1:15" x14ac:dyDescent="0.25">
      <c r="A21" s="14"/>
      <c r="B21" s="12"/>
      <c r="C21" s="14"/>
      <c r="D21" s="14"/>
      <c r="E21" s="14"/>
      <c r="F21" s="14"/>
      <c r="G21" s="14"/>
      <c r="H21" s="14"/>
      <c r="I21" s="12"/>
      <c r="J21" s="12"/>
      <c r="K21" s="12"/>
      <c r="L21" s="12"/>
      <c r="M21" s="12"/>
      <c r="N21" s="12"/>
      <c r="O21" s="12"/>
    </row>
    <row r="22" spans="1:15" x14ac:dyDescent="0.25">
      <c r="A22" s="14"/>
      <c r="B22" s="12"/>
      <c r="C22" s="14"/>
      <c r="D22" s="14"/>
      <c r="E22" s="14"/>
      <c r="F22" s="14"/>
      <c r="G22" s="14"/>
      <c r="H22" s="14"/>
      <c r="I22" s="12"/>
      <c r="J22" s="14"/>
      <c r="K22" s="12"/>
      <c r="L22" s="12"/>
      <c r="M22" s="12"/>
      <c r="N22" s="12"/>
      <c r="O22" s="12"/>
    </row>
    <row r="23" spans="1:15" x14ac:dyDescent="0.25">
      <c r="A23" s="14"/>
      <c r="B23" s="12"/>
      <c r="C23" s="14"/>
      <c r="D23" s="14"/>
      <c r="E23" s="14"/>
      <c r="F23" s="14"/>
      <c r="G23" s="14"/>
      <c r="H23" s="14"/>
      <c r="I23" s="12"/>
      <c r="J23" s="14"/>
      <c r="K23" s="12"/>
      <c r="L23" s="12"/>
      <c r="M23" s="12"/>
      <c r="N23" s="12"/>
      <c r="O23" s="12"/>
    </row>
    <row r="24" spans="1:15" x14ac:dyDescent="0.25">
      <c r="A24" s="14"/>
      <c r="B24" s="12"/>
      <c r="C24" s="14"/>
      <c r="D24" s="14"/>
      <c r="E24" s="14"/>
      <c r="F24" s="14"/>
      <c r="G24" s="14"/>
      <c r="H24" s="14"/>
      <c r="I24" s="12"/>
      <c r="J24" s="14"/>
      <c r="K24" s="12"/>
      <c r="L24" s="12"/>
      <c r="M24" s="12"/>
      <c r="N24" s="12"/>
      <c r="O24" s="12"/>
    </row>
    <row r="25" spans="1:15" x14ac:dyDescent="0.25">
      <c r="A25" s="14"/>
      <c r="B25" s="12"/>
      <c r="C25" s="14"/>
      <c r="D25" s="14"/>
      <c r="E25" s="14"/>
      <c r="F25" s="14"/>
      <c r="G25" s="14"/>
      <c r="H25" s="14"/>
      <c r="I25" s="12"/>
      <c r="J25" s="14"/>
      <c r="K25" s="12"/>
      <c r="L25" s="12"/>
      <c r="M25" s="12"/>
      <c r="N25" s="12"/>
      <c r="O25" s="12"/>
    </row>
    <row r="26" spans="1:15" x14ac:dyDescent="0.25">
      <c r="A26" s="14"/>
      <c r="B26" s="12"/>
      <c r="C26" s="14"/>
      <c r="D26" s="14"/>
      <c r="E26" s="14"/>
      <c r="F26" s="14"/>
      <c r="G26" s="14"/>
      <c r="H26" s="14"/>
      <c r="I26" s="12"/>
      <c r="J26" s="14"/>
      <c r="K26" s="12"/>
      <c r="L26" s="12"/>
      <c r="M26" s="12"/>
      <c r="N26" s="12"/>
      <c r="O26" s="12"/>
    </row>
    <row r="27" spans="1:15" x14ac:dyDescent="0.25">
      <c r="A27" s="14"/>
      <c r="B27" s="12"/>
      <c r="C27" s="14"/>
      <c r="D27" s="14"/>
      <c r="E27" s="14"/>
      <c r="F27" s="14"/>
      <c r="G27" s="14"/>
      <c r="H27" s="14"/>
      <c r="I27" s="12"/>
      <c r="J27" s="14"/>
      <c r="K27" s="12"/>
      <c r="L27" s="12"/>
      <c r="M27" s="12"/>
      <c r="N27" s="12"/>
      <c r="O27" s="12"/>
    </row>
    <row r="28" spans="1:15" x14ac:dyDescent="0.25">
      <c r="A28" s="14"/>
      <c r="B28" s="12"/>
      <c r="C28" s="14"/>
      <c r="D28" s="14"/>
      <c r="E28" s="14"/>
      <c r="F28" s="14"/>
      <c r="G28" s="14"/>
      <c r="H28" s="14"/>
      <c r="I28" s="12"/>
      <c r="J28" s="14"/>
      <c r="K28" s="12"/>
      <c r="L28" s="12"/>
      <c r="M28" s="12"/>
      <c r="N28" s="12"/>
      <c r="O28" s="12"/>
    </row>
    <row r="29" spans="1:15" x14ac:dyDescent="0.25">
      <c r="A29" s="14"/>
      <c r="B29" s="12"/>
      <c r="C29" s="14"/>
      <c r="D29" s="14"/>
      <c r="E29" s="14"/>
      <c r="F29" s="14"/>
      <c r="G29" s="14"/>
      <c r="H29" s="14"/>
      <c r="I29" s="12"/>
      <c r="J29" s="14"/>
      <c r="K29" s="12"/>
      <c r="L29" s="12"/>
      <c r="M29" s="12"/>
      <c r="N29" s="12"/>
      <c r="O29" s="12"/>
    </row>
    <row r="30" spans="1:15" x14ac:dyDescent="0.25">
      <c r="A30" s="14"/>
      <c r="B30" s="12"/>
      <c r="C30" s="14"/>
      <c r="D30" s="14"/>
      <c r="E30" s="14"/>
      <c r="F30" s="14"/>
      <c r="G30" s="14"/>
      <c r="H30" s="14"/>
      <c r="I30" s="12"/>
      <c r="J30" s="14"/>
      <c r="K30" s="12"/>
      <c r="L30" s="12"/>
      <c r="M30" s="12"/>
      <c r="N30" s="12"/>
      <c r="O30" s="12"/>
    </row>
    <row r="31" spans="1:15" x14ac:dyDescent="0.25">
      <c r="A31" s="14"/>
      <c r="B31" s="12"/>
      <c r="C31" s="14"/>
      <c r="D31" s="14"/>
      <c r="E31" s="14"/>
      <c r="F31" s="14"/>
      <c r="G31" s="14"/>
      <c r="H31" s="14"/>
      <c r="I31" s="12"/>
      <c r="J31" s="14"/>
      <c r="K31" s="12"/>
      <c r="L31" s="12"/>
      <c r="M31" s="12"/>
      <c r="N31" s="12"/>
      <c r="O31" s="12"/>
    </row>
    <row r="32" spans="1:15" x14ac:dyDescent="0.25">
      <c r="A32" s="14"/>
      <c r="B32" s="12"/>
      <c r="C32" s="14"/>
      <c r="D32" s="14"/>
      <c r="E32" s="14"/>
      <c r="F32" s="14"/>
      <c r="G32" s="14"/>
      <c r="H32" s="14"/>
      <c r="I32" s="12"/>
      <c r="J32" s="14"/>
      <c r="K32" s="12"/>
      <c r="L32" s="12"/>
      <c r="M32" s="12"/>
      <c r="N32" s="12"/>
      <c r="O32" s="12"/>
    </row>
    <row r="33" spans="1:15" x14ac:dyDescent="0.25">
      <c r="A33" s="14"/>
      <c r="B33" s="12"/>
      <c r="C33" s="14"/>
      <c r="D33" s="14"/>
      <c r="E33" s="14"/>
      <c r="F33" s="14"/>
      <c r="G33" s="14"/>
      <c r="H33" s="14"/>
      <c r="I33" s="12"/>
      <c r="J33" s="14"/>
      <c r="K33" s="12"/>
      <c r="L33" s="12"/>
      <c r="M33" s="12"/>
      <c r="N33" s="12"/>
      <c r="O33" s="12"/>
    </row>
    <row r="34" spans="1:15" x14ac:dyDescent="0.25">
      <c r="A34" s="14"/>
      <c r="B34" s="12"/>
      <c r="C34" s="14"/>
      <c r="D34" s="14"/>
      <c r="E34" s="14"/>
      <c r="F34" s="14"/>
      <c r="G34" s="14"/>
      <c r="H34" s="14"/>
      <c r="I34" s="12"/>
      <c r="J34" s="14"/>
      <c r="K34" s="12"/>
      <c r="L34" s="12"/>
      <c r="M34" s="12"/>
      <c r="N34" s="12"/>
      <c r="O34" s="12"/>
    </row>
    <row r="35" spans="1:15" x14ac:dyDescent="0.25">
      <c r="A35" s="14"/>
      <c r="B35" s="12"/>
      <c r="C35" s="14"/>
      <c r="D35" s="14"/>
      <c r="E35" s="14"/>
      <c r="F35" s="14"/>
      <c r="G35" s="14"/>
      <c r="H35" s="14"/>
      <c r="I35" s="12"/>
      <c r="J35" s="14"/>
      <c r="K35" s="12"/>
      <c r="L35" s="12"/>
      <c r="M35" s="12"/>
      <c r="N35" s="12"/>
      <c r="O35" s="12"/>
    </row>
    <row r="36" spans="1:15" x14ac:dyDescent="0.25">
      <c r="A36" s="14"/>
      <c r="B36" s="12"/>
      <c r="C36" s="14"/>
      <c r="D36" s="14"/>
      <c r="E36" s="14"/>
      <c r="F36" s="14"/>
      <c r="G36" s="14"/>
      <c r="H36" s="14"/>
      <c r="I36" s="12"/>
      <c r="J36" s="14"/>
      <c r="K36" s="12"/>
      <c r="L36" s="12"/>
      <c r="M36" s="12"/>
      <c r="N36" s="12"/>
      <c r="O36" s="12"/>
    </row>
    <row r="37" spans="1:15" x14ac:dyDescent="0.25">
      <c r="A37" s="14"/>
      <c r="B37" s="12"/>
      <c r="C37" s="14"/>
      <c r="D37" s="14"/>
      <c r="E37" s="14"/>
      <c r="F37" s="14"/>
      <c r="G37" s="14"/>
      <c r="H37" s="14"/>
      <c r="I37" s="12"/>
      <c r="J37" s="14"/>
      <c r="K37" s="12"/>
      <c r="L37" s="12"/>
      <c r="M37" s="12"/>
      <c r="N37" s="12"/>
      <c r="O37" s="12"/>
    </row>
    <row r="38" spans="1:15" x14ac:dyDescent="0.25">
      <c r="A38" s="14"/>
      <c r="B38" s="12"/>
      <c r="C38" s="14"/>
      <c r="D38" s="14"/>
      <c r="E38" s="14"/>
      <c r="F38" s="14"/>
      <c r="G38" s="14"/>
      <c r="H38" s="14"/>
      <c r="I38" s="12"/>
      <c r="J38" s="14"/>
      <c r="K38" s="12"/>
      <c r="L38" s="12"/>
      <c r="M38" s="12"/>
      <c r="N38" s="12"/>
      <c r="O38" s="12"/>
    </row>
    <row r="39" spans="1:15" x14ac:dyDescent="0.25">
      <c r="A39" s="14"/>
      <c r="B39" s="12"/>
      <c r="C39" s="14"/>
      <c r="D39" s="14"/>
      <c r="E39" s="14"/>
      <c r="F39" s="14"/>
      <c r="G39" s="14"/>
      <c r="H39" s="14"/>
      <c r="I39" s="12"/>
      <c r="J39" s="14"/>
      <c r="K39" s="12"/>
      <c r="L39" s="12"/>
      <c r="M39" s="12"/>
      <c r="N39" s="12"/>
      <c r="O39" s="12"/>
    </row>
    <row r="40" spans="1:15" x14ac:dyDescent="0.25">
      <c r="A40" s="14"/>
      <c r="B40" s="12"/>
      <c r="C40" s="14"/>
      <c r="D40" s="14"/>
      <c r="E40" s="14"/>
      <c r="F40" s="14"/>
      <c r="G40" s="14"/>
      <c r="H40" s="14"/>
      <c r="I40" s="12"/>
      <c r="J40" s="14"/>
      <c r="K40" s="12"/>
      <c r="L40" s="12"/>
      <c r="M40" s="12"/>
      <c r="N40" s="12"/>
      <c r="O40" s="12"/>
    </row>
    <row r="41" spans="1:15" x14ac:dyDescent="0.25">
      <c r="A41" s="14"/>
      <c r="B41" s="12"/>
      <c r="C41" s="14"/>
      <c r="D41" s="14"/>
      <c r="E41" s="14"/>
      <c r="F41" s="14"/>
      <c r="G41" s="14"/>
      <c r="H41" s="14"/>
      <c r="I41" s="12"/>
      <c r="J41" s="14"/>
      <c r="K41" s="12"/>
      <c r="L41" s="12"/>
      <c r="M41" s="12"/>
      <c r="N41" s="12"/>
      <c r="O41" s="12"/>
    </row>
    <row r="42" spans="1:15" x14ac:dyDescent="0.25">
      <c r="A42" s="14"/>
      <c r="B42" s="12"/>
      <c r="C42" s="14"/>
      <c r="D42" s="14"/>
      <c r="E42" s="14"/>
      <c r="F42" s="14"/>
      <c r="G42" s="14"/>
      <c r="H42" s="14"/>
      <c r="I42" s="12"/>
      <c r="J42" s="14"/>
      <c r="K42" s="12"/>
      <c r="L42" s="12"/>
      <c r="M42" s="12"/>
      <c r="N42" s="12"/>
      <c r="O42" s="12"/>
    </row>
    <row r="43" spans="1:15" x14ac:dyDescent="0.25">
      <c r="A43" s="14"/>
      <c r="B43" s="12"/>
      <c r="C43" s="14"/>
      <c r="D43" s="14"/>
      <c r="E43" s="14"/>
      <c r="F43" s="14"/>
      <c r="G43" s="14"/>
      <c r="H43" s="14"/>
      <c r="I43" s="12"/>
      <c r="J43" s="14"/>
      <c r="K43" s="12"/>
      <c r="L43" s="12"/>
      <c r="M43" s="12"/>
      <c r="N43" s="12"/>
      <c r="O43" s="12"/>
    </row>
    <row r="44" spans="1:15" x14ac:dyDescent="0.25">
      <c r="A44" s="14"/>
      <c r="B44" s="12"/>
      <c r="C44" s="14"/>
      <c r="D44" s="14"/>
      <c r="E44" s="14"/>
      <c r="F44" s="14"/>
      <c r="G44" s="14"/>
      <c r="H44" s="14"/>
      <c r="I44" s="12"/>
      <c r="J44" s="14"/>
      <c r="K44" s="12"/>
      <c r="L44" s="12"/>
      <c r="M44" s="12"/>
      <c r="N44" s="12"/>
      <c r="O44" s="12"/>
    </row>
    <row r="45" spans="1:15" x14ac:dyDescent="0.25">
      <c r="A45" s="14"/>
      <c r="B45" s="12"/>
      <c r="C45" s="14"/>
      <c r="D45" s="14"/>
      <c r="E45" s="14"/>
      <c r="F45" s="14"/>
      <c r="G45" s="14"/>
      <c r="H45" s="14"/>
      <c r="I45" s="12"/>
      <c r="J45" s="14"/>
      <c r="K45" s="12"/>
      <c r="L45" s="12"/>
      <c r="M45" s="12"/>
      <c r="N45" s="12"/>
      <c r="O45" s="12"/>
    </row>
    <row r="46" spans="1:1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2"/>
      <c r="L46" s="12"/>
      <c r="M46" s="12"/>
      <c r="N46" s="12"/>
      <c r="O46" s="12"/>
    </row>
    <row r="47" spans="1:15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2"/>
      <c r="L47" s="12"/>
      <c r="M47" s="12"/>
      <c r="N47" s="12"/>
      <c r="O47" s="12"/>
    </row>
    <row r="48" spans="1:15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2"/>
      <c r="L48" s="12"/>
      <c r="M48" s="12"/>
      <c r="N48" s="12"/>
      <c r="O48" s="12"/>
    </row>
    <row r="49" spans="1:15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2"/>
      <c r="L49" s="12"/>
      <c r="M49" s="12"/>
      <c r="N49" s="12"/>
      <c r="O49" s="12"/>
    </row>
    <row r="50" spans="1:15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2"/>
      <c r="L50" s="12"/>
      <c r="M50" s="12"/>
      <c r="N50" s="12"/>
      <c r="O50" s="12"/>
    </row>
    <row r="51" spans="1:15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2"/>
      <c r="L51" s="12"/>
      <c r="M51" s="12"/>
      <c r="N51" s="12"/>
      <c r="O51" s="12"/>
    </row>
    <row r="52" spans="1:15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2"/>
      <c r="L52" s="12"/>
      <c r="M52" s="12"/>
      <c r="N52" s="12"/>
      <c r="O52" s="12"/>
    </row>
    <row r="53" spans="1:15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2"/>
      <c r="L53" s="12"/>
      <c r="M53" s="12"/>
      <c r="N53" s="12"/>
      <c r="O53" s="12"/>
    </row>
    <row r="54" spans="1:1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2"/>
      <c r="L54" s="12"/>
      <c r="M54" s="12"/>
      <c r="N54" s="12"/>
      <c r="O54" s="12"/>
    </row>
    <row r="55" spans="1:15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2"/>
      <c r="L55" s="12"/>
      <c r="M55" s="12"/>
      <c r="N55" s="12"/>
      <c r="O55" s="12"/>
    </row>
    <row r="56" spans="1:15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2"/>
      <c r="L56" s="12"/>
      <c r="M56" s="12"/>
      <c r="N56" s="12"/>
      <c r="O56" s="12"/>
    </row>
    <row r="57" spans="1:15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2"/>
      <c r="L57" s="12"/>
      <c r="M57" s="12"/>
      <c r="N57" s="12"/>
      <c r="O57" s="12"/>
    </row>
    <row r="58" spans="1:15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2"/>
      <c r="L58" s="12"/>
      <c r="M58" s="12"/>
      <c r="N58" s="12"/>
      <c r="O58" s="12"/>
    </row>
    <row r="59" spans="1:15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2"/>
      <c r="L59" s="12"/>
      <c r="M59" s="12"/>
      <c r="N59" s="12"/>
      <c r="O59" s="12"/>
    </row>
    <row r="60" spans="1:15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2"/>
      <c r="L60" s="12"/>
      <c r="M60" s="12"/>
      <c r="N60" s="12"/>
      <c r="O60" s="12"/>
    </row>
    <row r="61" spans="1:15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2"/>
      <c r="L61" s="12"/>
      <c r="M61" s="12"/>
      <c r="N61" s="12"/>
      <c r="O61" s="12"/>
    </row>
    <row r="62" spans="1:15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2"/>
      <c r="L62" s="12"/>
      <c r="M62" s="12"/>
      <c r="N62" s="12"/>
      <c r="O62" s="12"/>
    </row>
    <row r="63" spans="1:15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2"/>
      <c r="L63" s="12"/>
      <c r="M63" s="12"/>
      <c r="N63" s="12"/>
      <c r="O63" s="12"/>
    </row>
    <row r="64" spans="1:15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2"/>
      <c r="L64" s="12"/>
      <c r="M64" s="12"/>
      <c r="N64" s="12"/>
      <c r="O64" s="12"/>
    </row>
    <row r="65" spans="1:15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2"/>
      <c r="L65" s="12"/>
      <c r="M65" s="12"/>
      <c r="N65" s="12"/>
      <c r="O65" s="12"/>
    </row>
    <row r="66" spans="1:15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2"/>
      <c r="L66" s="12"/>
      <c r="M66" s="12"/>
      <c r="N66" s="12"/>
      <c r="O66" s="12"/>
    </row>
    <row r="67" spans="1:15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2"/>
      <c r="L67" s="12"/>
      <c r="M67" s="12"/>
      <c r="N67" s="12"/>
      <c r="O67" s="12"/>
    </row>
    <row r="68" spans="1:15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2"/>
      <c r="L68" s="12"/>
      <c r="M68" s="12"/>
      <c r="N68" s="12"/>
      <c r="O68" s="12"/>
    </row>
    <row r="69" spans="1:15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2"/>
      <c r="L69" s="12"/>
      <c r="M69" s="12"/>
      <c r="N69" s="12"/>
      <c r="O69" s="12"/>
    </row>
    <row r="70" spans="1:15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2"/>
      <c r="L70" s="12"/>
      <c r="M70" s="12"/>
      <c r="N70" s="12"/>
      <c r="O70" s="12"/>
    </row>
    <row r="71" spans="1:15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2"/>
      <c r="L71" s="12"/>
      <c r="M71" s="12"/>
      <c r="N71" s="12"/>
      <c r="O71" s="12"/>
    </row>
    <row r="72" spans="1:15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2"/>
      <c r="L72" s="12"/>
      <c r="M72" s="12"/>
      <c r="N72" s="12"/>
      <c r="O72" s="12"/>
    </row>
    <row r="73" spans="1:15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2"/>
      <c r="L73" s="12"/>
      <c r="M73" s="12"/>
      <c r="N73" s="12"/>
      <c r="O73" s="12"/>
    </row>
    <row r="74" spans="1:15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2"/>
      <c r="L74" s="12"/>
      <c r="M74" s="12"/>
      <c r="N74" s="12"/>
      <c r="O74" s="12"/>
    </row>
    <row r="75" spans="1:15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2"/>
      <c r="L75" s="12"/>
      <c r="M75" s="12"/>
      <c r="N75" s="12"/>
      <c r="O75" s="12"/>
    </row>
    <row r="76" spans="1:15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2"/>
      <c r="L76" s="12"/>
      <c r="M76" s="12"/>
      <c r="N76" s="12"/>
      <c r="O76" s="12"/>
    </row>
    <row r="77" spans="1:15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2"/>
      <c r="L77" s="12"/>
      <c r="M77" s="12"/>
      <c r="N77" s="12"/>
      <c r="O77" s="12"/>
    </row>
    <row r="78" spans="1:15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2"/>
      <c r="L78" s="12"/>
      <c r="M78" s="12"/>
      <c r="N78" s="12"/>
      <c r="O78" s="12"/>
    </row>
    <row r="79" spans="1:15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2"/>
      <c r="L79" s="12"/>
      <c r="M79" s="12"/>
      <c r="N79" s="12"/>
      <c r="O79" s="12"/>
    </row>
    <row r="80" spans="1:15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2"/>
      <c r="L80" s="12"/>
      <c r="M80" s="12"/>
      <c r="N80" s="12"/>
      <c r="O80" s="12"/>
    </row>
    <row r="81" spans="1:15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2"/>
      <c r="L81" s="12"/>
      <c r="M81" s="12"/>
      <c r="N81" s="12"/>
      <c r="O81" s="12"/>
    </row>
    <row r="82" spans="1:15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2"/>
      <c r="L82" s="12"/>
      <c r="M82" s="12"/>
      <c r="N82" s="12"/>
      <c r="O82" s="12"/>
    </row>
    <row r="83" spans="1:15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2"/>
      <c r="L83" s="12"/>
      <c r="M83" s="12"/>
      <c r="N83" s="12"/>
      <c r="O83" s="12"/>
    </row>
    <row r="84" spans="1:15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2"/>
      <c r="L84" s="12"/>
      <c r="M84" s="12"/>
      <c r="N84" s="12"/>
      <c r="O84" s="12"/>
    </row>
    <row r="85" spans="1:1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2"/>
      <c r="L85" s="12"/>
      <c r="M85" s="12"/>
      <c r="N85" s="12"/>
      <c r="O85" s="12"/>
    </row>
    <row r="86" spans="1:15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2"/>
      <c r="L86" s="12"/>
      <c r="M86" s="12"/>
      <c r="N86" s="12"/>
      <c r="O86" s="12"/>
    </row>
    <row r="87" spans="1:1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2"/>
      <c r="L87" s="12"/>
      <c r="M87" s="12"/>
      <c r="N87" s="12"/>
      <c r="O87" s="12"/>
    </row>
    <row r="88" spans="1:15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2"/>
      <c r="L88" s="12"/>
      <c r="M88" s="12"/>
      <c r="N88" s="12"/>
      <c r="O88" s="12"/>
    </row>
    <row r="89" spans="1:15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2"/>
      <c r="L89" s="12"/>
      <c r="M89" s="12"/>
      <c r="N89" s="12"/>
      <c r="O89" s="12"/>
    </row>
    <row r="90" spans="1:15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2"/>
      <c r="L90" s="12"/>
      <c r="M90" s="12"/>
      <c r="N90" s="12"/>
      <c r="O90" s="12"/>
    </row>
    <row r="91" spans="1:15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2"/>
      <c r="L91" s="12"/>
      <c r="M91" s="12"/>
      <c r="N91" s="12"/>
      <c r="O91" s="12"/>
    </row>
    <row r="92" spans="1:15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2"/>
      <c r="L92" s="12"/>
      <c r="M92" s="12"/>
      <c r="N92" s="12"/>
      <c r="O92" s="12"/>
    </row>
    <row r="93" spans="1:15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2"/>
      <c r="L93" s="12"/>
      <c r="M93" s="12"/>
      <c r="N93" s="12"/>
      <c r="O93" s="12"/>
    </row>
    <row r="94" spans="1:15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2"/>
      <c r="L94" s="12"/>
      <c r="M94" s="12"/>
      <c r="N94" s="12"/>
      <c r="O94" s="12"/>
    </row>
    <row r="95" spans="1:15" x14ac:dyDescent="0.25">
      <c r="L95" s="6"/>
    </row>
    <row r="96" spans="1:15" x14ac:dyDescent="0.25">
      <c r="L96" s="6"/>
    </row>
    <row r="97" spans="12:12" x14ac:dyDescent="0.25">
      <c r="L97" s="6"/>
    </row>
    <row r="98" spans="12:12" x14ac:dyDescent="0.25">
      <c r="L98" s="6"/>
    </row>
    <row r="99" spans="12:12" x14ac:dyDescent="0.25">
      <c r="L99" s="6"/>
    </row>
    <row r="100" spans="12:12" x14ac:dyDescent="0.25">
      <c r="L100" s="6"/>
    </row>
    <row r="101" spans="12:12" x14ac:dyDescent="0.25">
      <c r="L101" s="6"/>
    </row>
    <row r="102" spans="12:12" x14ac:dyDescent="0.25">
      <c r="L102" s="6"/>
    </row>
    <row r="103" spans="12:12" x14ac:dyDescent="0.25">
      <c r="L103" s="6"/>
    </row>
    <row r="104" spans="12:12" x14ac:dyDescent="0.25">
      <c r="L104" s="6"/>
    </row>
    <row r="105" spans="12:12" x14ac:dyDescent="0.25">
      <c r="L105" s="6"/>
    </row>
    <row r="106" spans="12:12" x14ac:dyDescent="0.25">
      <c r="L106" s="6"/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00000000-0002-0000-0100-000001000000}">
          <x14:formula1>
            <xm:f>Survey_Info!$A$2:$A$1048576</xm:f>
          </x14:formula1>
          <x14:formula2>
            <xm:f>0</xm:f>
          </x14:formula2>
          <xm:sqref>J2:J1094</xm:sqref>
        </x14:dataValidation>
        <x14:dataValidation type="list" operator="equal" allowBlank="1" showInputMessage="1" showErrorMessage="1" error="Survey must match a survey name from the SurveyInfo tab" promptTitle="Must use valid Survey name" xr:uid="{00000000-0002-0000-0100-000000000000}">
          <x14:formula1>
            <xm:f>Survey_Info!$A2:$A99</xm:f>
          </x14:formula1>
          <x14:formula2>
            <xm:f>0</xm:f>
          </x14:formula2>
          <xm:sqref>J1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"/>
  <sheetViews>
    <sheetView zoomScaleNormal="100" workbookViewId="0">
      <selection activeCell="D3" sqref="D3"/>
    </sheetView>
  </sheetViews>
  <sheetFormatPr baseColWidth="10" defaultColWidth="10.83203125" defaultRowHeight="19" x14ac:dyDescent="0.25"/>
  <cols>
    <col min="1" max="1" width="11.33203125" style="7" bestFit="1" customWidth="1"/>
    <col min="2" max="2" width="10" style="7" bestFit="1" customWidth="1"/>
    <col min="3" max="3" width="20.33203125" style="7" bestFit="1" customWidth="1"/>
    <col min="4" max="4" width="24.5" style="7" bestFit="1" customWidth="1"/>
    <col min="5" max="5" width="22.5" style="7" bestFit="1" customWidth="1"/>
    <col min="6" max="6" width="14.33203125" style="7" bestFit="1" customWidth="1"/>
    <col min="7" max="7" width="10.5" style="7" bestFit="1" customWidth="1"/>
    <col min="8" max="8" width="15.1640625" style="7" bestFit="1" customWidth="1"/>
    <col min="9" max="9" width="14.83203125" style="7" bestFit="1" customWidth="1"/>
    <col min="10" max="10" width="21.83203125" style="7" bestFit="1" customWidth="1"/>
    <col min="11" max="1024" width="10.83203125" style="7"/>
  </cols>
  <sheetData>
    <row r="1" spans="1:10" s="11" customFormat="1" x14ac:dyDescent="0.25">
      <c r="A1" s="10" t="s">
        <v>17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2" t="s">
        <v>52</v>
      </c>
    </row>
    <row r="2" spans="1:10" x14ac:dyDescent="0.25">
      <c r="A2" s="13" t="s">
        <v>24</v>
      </c>
      <c r="B2" s="13">
        <v>18</v>
      </c>
      <c r="C2" s="13">
        <v>1</v>
      </c>
      <c r="D2" s="15">
        <v>100000</v>
      </c>
      <c r="E2" s="13">
        <f>D2*C2</f>
        <v>100000</v>
      </c>
      <c r="F2" s="13">
        <f>E2*B2</f>
        <v>1800000</v>
      </c>
      <c r="G2" s="13" t="s">
        <v>53</v>
      </c>
      <c r="H2" s="13" t="s">
        <v>78</v>
      </c>
      <c r="I2" s="13">
        <v>2</v>
      </c>
      <c r="J2" s="13">
        <v>1000</v>
      </c>
    </row>
    <row r="3" spans="1:10" x14ac:dyDescent="0.25">
      <c r="A3" s="13" t="s">
        <v>42</v>
      </c>
      <c r="B3" s="13">
        <v>15</v>
      </c>
      <c r="C3" s="13">
        <v>1</v>
      </c>
      <c r="D3" s="15">
        <v>100000</v>
      </c>
      <c r="E3" s="13">
        <f>D3*C3</f>
        <v>100000</v>
      </c>
      <c r="F3" s="13">
        <v>5000000</v>
      </c>
      <c r="G3" s="13" t="s">
        <v>53</v>
      </c>
      <c r="H3" s="13" t="s">
        <v>78</v>
      </c>
      <c r="I3" s="13">
        <v>1</v>
      </c>
      <c r="J3" s="13">
        <v>20</v>
      </c>
    </row>
    <row r="4" spans="1:10" x14ac:dyDescent="0.25">
      <c r="A4" s="13" t="s">
        <v>43</v>
      </c>
      <c r="B4" s="13">
        <v>4</v>
      </c>
      <c r="C4" s="13">
        <v>1</v>
      </c>
      <c r="D4" s="15">
        <v>10000</v>
      </c>
      <c r="E4" s="13">
        <f>D4*C4</f>
        <v>10000</v>
      </c>
      <c r="F4" s="13">
        <f>E4*B4</f>
        <v>40000</v>
      </c>
      <c r="G4" s="13" t="s">
        <v>53</v>
      </c>
      <c r="H4" s="13" t="s">
        <v>78</v>
      </c>
      <c r="I4" s="13">
        <v>3</v>
      </c>
      <c r="J4" s="13">
        <v>1000</v>
      </c>
    </row>
    <row r="5" spans="1:10" x14ac:dyDescent="0.25">
      <c r="A5" s="13"/>
      <c r="B5" s="13"/>
      <c r="C5" s="13"/>
      <c r="D5" s="15"/>
      <c r="E5" s="13"/>
      <c r="F5" s="13"/>
      <c r="G5" s="13"/>
      <c r="H5" s="13"/>
      <c r="I5" s="13"/>
      <c r="J5" s="13"/>
    </row>
    <row r="6" spans="1:10" x14ac:dyDescent="0.25">
      <c r="A6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"/>
  <sheetViews>
    <sheetView zoomScaleNormal="100" workbookViewId="0">
      <selection activeCell="A3" sqref="A3"/>
    </sheetView>
  </sheetViews>
  <sheetFormatPr baseColWidth="10" defaultColWidth="9" defaultRowHeight="19" x14ac:dyDescent="0.25"/>
  <cols>
    <col min="1" max="1" width="21.1640625" style="1" customWidth="1"/>
    <col min="2" max="2" width="25.6640625" style="1" customWidth="1"/>
    <col min="3" max="3" width="17.1640625" style="1" customWidth="1"/>
    <col min="4" max="4" width="16.5" style="1" customWidth="1"/>
    <col min="5" max="5" width="20.83203125" style="1" customWidth="1"/>
    <col min="6" max="6" width="17.5" style="1" customWidth="1"/>
    <col min="7" max="7" width="10.83203125" style="1" customWidth="1"/>
    <col min="8" max="1024" width="9" style="1"/>
  </cols>
  <sheetData>
    <row r="1" spans="1:7" s="3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25">
      <c r="A2" s="17">
        <f>B2*0.9</f>
        <v>307800</v>
      </c>
      <c r="B2" s="17">
        <v>342000</v>
      </c>
      <c r="C2" s="17">
        <f>(E2+75.7)*0.9</f>
        <v>39.042000000000002</v>
      </c>
      <c r="D2" s="17">
        <v>-36.72</v>
      </c>
      <c r="E2" s="17">
        <v>-32.32</v>
      </c>
      <c r="F2" s="17">
        <v>-48.32</v>
      </c>
      <c r="G2" s="17">
        <f>E2</f>
        <v>-32.32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"/>
  <sheetViews>
    <sheetView zoomScaleNormal="100" workbookViewId="0">
      <selection activeCell="B3" sqref="B3"/>
    </sheetView>
  </sheetViews>
  <sheetFormatPr baseColWidth="10" defaultColWidth="9" defaultRowHeight="19" x14ac:dyDescent="0.25"/>
  <cols>
    <col min="1" max="1" width="29.33203125" style="1" customWidth="1"/>
    <col min="2" max="2" width="34.33203125" style="1" customWidth="1"/>
    <col min="3" max="3" width="28.83203125" style="1" customWidth="1"/>
    <col min="4" max="4" width="30.6640625" style="1" customWidth="1"/>
    <col min="5" max="5" width="28" style="1" customWidth="1"/>
    <col min="6" max="6" width="14.33203125" style="1" customWidth="1"/>
    <col min="7" max="7" width="8.83203125" style="1" customWidth="1"/>
    <col min="8" max="1024" width="9" style="1"/>
  </cols>
  <sheetData>
    <row r="1" spans="1:7" s="3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32"/>
      <c r="G1" s="18"/>
    </row>
    <row r="2" spans="1:7" x14ac:dyDescent="0.25">
      <c r="A2" s="17">
        <v>0</v>
      </c>
      <c r="B2" s="17">
        <v>2000</v>
      </c>
      <c r="C2" s="17">
        <v>2</v>
      </c>
      <c r="D2" s="17">
        <v>0.13700000000000001</v>
      </c>
      <c r="E2" s="17">
        <v>3.125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5"/>
  <sheetViews>
    <sheetView zoomScaleNormal="100" workbookViewId="0">
      <selection activeCell="A2" sqref="A2:E5"/>
    </sheetView>
  </sheetViews>
  <sheetFormatPr baseColWidth="10" defaultColWidth="23.6640625" defaultRowHeight="19" x14ac:dyDescent="0.25"/>
  <cols>
    <col min="1" max="1024" width="23.6640625" style="1"/>
  </cols>
  <sheetData>
    <row r="1" spans="1:6" s="3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18" t="s">
        <v>70</v>
      </c>
      <c r="F1" s="18"/>
    </row>
    <row r="2" spans="1:6" x14ac:dyDescent="0.25">
      <c r="A2" s="17" t="s">
        <v>71</v>
      </c>
      <c r="B2" s="17">
        <v>40.015000000000001</v>
      </c>
      <c r="C2" s="17">
        <v>-105.2705</v>
      </c>
      <c r="D2" s="29">
        <v>1655</v>
      </c>
      <c r="E2" s="17">
        <v>15</v>
      </c>
      <c r="F2" s="16"/>
    </row>
    <row r="3" spans="1:6" x14ac:dyDescent="0.25">
      <c r="A3" s="17" t="s">
        <v>72</v>
      </c>
      <c r="B3" s="17">
        <v>40.10078</v>
      </c>
      <c r="C3" s="17">
        <v>-83.197509999999994</v>
      </c>
      <c r="D3" s="17">
        <v>0</v>
      </c>
      <c r="E3" s="17">
        <v>15</v>
      </c>
    </row>
    <row r="4" spans="1:6" x14ac:dyDescent="0.25">
      <c r="A4" s="17" t="s">
        <v>73</v>
      </c>
      <c r="B4" s="17">
        <v>45.854579999999999</v>
      </c>
      <c r="C4" s="30">
        <v>-119.63198</v>
      </c>
      <c r="D4" s="17">
        <v>1000</v>
      </c>
      <c r="E4" s="17">
        <v>15</v>
      </c>
    </row>
    <row r="5" spans="1:6" x14ac:dyDescent="0.25">
      <c r="A5" s="17" t="s">
        <v>74</v>
      </c>
      <c r="B5" s="17">
        <v>53.778799999999997</v>
      </c>
      <c r="C5" s="17">
        <v>-7.3055000000000003</v>
      </c>
      <c r="D5" s="17">
        <v>0</v>
      </c>
      <c r="E5" s="17">
        <v>15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zoomScaleNormal="100" workbookViewId="0"/>
  </sheetViews>
  <sheetFormatPr baseColWidth="10" defaultColWidth="8.83203125" defaultRowHeight="15" x14ac:dyDescent="0.2"/>
  <sheetData>
    <row r="1" spans="1:2" x14ac:dyDescent="0.2">
      <c r="A1" t="s">
        <v>67</v>
      </c>
      <c r="B1" t="s">
        <v>68</v>
      </c>
    </row>
    <row r="2" spans="1:2" x14ac:dyDescent="0.2">
      <c r="A2">
        <v>-20</v>
      </c>
      <c r="B2" s="19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9">
        <v>-1.7800000000000001E-14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zoomScaleNormal="100" workbookViewId="0">
      <selection activeCell="E18" sqref="E18"/>
    </sheetView>
  </sheetViews>
  <sheetFormatPr baseColWidth="10" defaultColWidth="8.83203125" defaultRowHeight="15" x14ac:dyDescent="0.2"/>
  <cols>
    <col min="1" max="1" width="16" bestFit="1" customWidth="1"/>
    <col min="2" max="2" width="22" bestFit="1" customWidth="1"/>
    <col min="3" max="3" width="22.33203125" bestFit="1" customWidth="1"/>
    <col min="4" max="4" width="20.5" bestFit="1" customWidth="1"/>
  </cols>
  <sheetData>
    <row r="1" spans="1:4" ht="19" x14ac:dyDescent="0.25">
      <c r="A1" s="17" t="s">
        <v>75</v>
      </c>
      <c r="B1" s="17" t="s">
        <v>76</v>
      </c>
      <c r="C1" s="17" t="s">
        <v>77</v>
      </c>
      <c r="D1" s="17" t="s">
        <v>81</v>
      </c>
    </row>
    <row r="2" spans="1:4" ht="19" x14ac:dyDescent="0.25">
      <c r="A2" s="17">
        <v>15</v>
      </c>
      <c r="B2" s="17">
        <v>15</v>
      </c>
      <c r="C2" s="17">
        <v>15</v>
      </c>
      <c r="D2" s="17">
        <v>90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 E</dc:creator>
  <dc:description/>
  <cp:lastModifiedBy>Sebastian Escobar</cp:lastModifiedBy>
  <cp:revision>16</cp:revision>
  <dcterms:created xsi:type="dcterms:W3CDTF">2024-04-25T00:02:08Z</dcterms:created>
  <dcterms:modified xsi:type="dcterms:W3CDTF">2026-05-01T18:23:57Z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