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escobar/Desktop/CubeSatMissionPlanner/Data Files/"/>
    </mc:Choice>
  </mc:AlternateContent>
  <xr:revisionPtr revIDLastSave="0" documentId="13_ncr:1_{A787E11A-C35B-3044-8E75-F63482F643DB}" xr6:coauthVersionLast="47" xr6:coauthVersionMax="47" xr10:uidLastSave="{00000000-0000-0000-0000-000000000000}"/>
  <bookViews>
    <workbookView xWindow="4080" yWindow="680" windowWidth="21520" windowHeight="14600" activeTab="2" xr2:uid="{103AC5D8-21F7-4928-8616-0E1C76F0EB80}"/>
  </bookViews>
  <sheets>
    <sheet name="PlanPropagation_Info" sheetId="5" r:id="rId1"/>
    <sheet name="Targets_Info" sheetId="1" r:id="rId2"/>
    <sheet name="Survey_Info" sheetId="2" r:id="rId3"/>
    <sheet name="PowerBudget_Info" sheetId="3" r:id="rId4"/>
    <sheet name="DataBudget_Info" sheetId="4" r:id="rId5"/>
    <sheet name="GroundStations_Info" sheetId="8" r:id="rId6"/>
    <sheet name="SAA_Info" sheetId="9" r:id="rId7"/>
    <sheet name="Constraints_Info" sheetId="10" r:id="rId8"/>
  </sheets>
  <externalReferences>
    <externalReference r:id="rId9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1" i="1" l="1"/>
  <c r="M271" i="1"/>
  <c r="L271" i="1"/>
  <c r="N270" i="1"/>
  <c r="M270" i="1"/>
  <c r="L270" i="1"/>
  <c r="N269" i="1"/>
  <c r="M269" i="1"/>
  <c r="L269" i="1"/>
  <c r="N268" i="1"/>
  <c r="M268" i="1"/>
  <c r="L268" i="1"/>
  <c r="N267" i="1"/>
  <c r="M267" i="1"/>
  <c r="L267" i="1"/>
  <c r="N266" i="1"/>
  <c r="M266" i="1"/>
  <c r="L266" i="1"/>
  <c r="N265" i="1"/>
  <c r="M265" i="1"/>
  <c r="L265" i="1"/>
  <c r="N264" i="1"/>
  <c r="M264" i="1"/>
  <c r="L264" i="1"/>
  <c r="N263" i="1"/>
  <c r="M263" i="1"/>
  <c r="L263" i="1"/>
  <c r="N262" i="1"/>
  <c r="M262" i="1"/>
  <c r="L262" i="1"/>
  <c r="N261" i="1"/>
  <c r="M261" i="1"/>
  <c r="L261" i="1"/>
  <c r="N260" i="1"/>
  <c r="M260" i="1"/>
  <c r="L260" i="1"/>
  <c r="N259" i="1"/>
  <c r="M259" i="1"/>
  <c r="L259" i="1"/>
  <c r="N258" i="1"/>
  <c r="M258" i="1"/>
  <c r="L258" i="1"/>
  <c r="N257" i="1"/>
  <c r="M257" i="1"/>
  <c r="L257" i="1"/>
  <c r="N256" i="1"/>
  <c r="M256" i="1"/>
  <c r="L256" i="1"/>
  <c r="N255" i="1"/>
  <c r="M255" i="1"/>
  <c r="L255" i="1"/>
  <c r="N254" i="1"/>
  <c r="M254" i="1"/>
  <c r="L254" i="1"/>
  <c r="N253" i="1"/>
  <c r="M253" i="1"/>
  <c r="L253" i="1"/>
  <c r="N252" i="1"/>
  <c r="M252" i="1"/>
  <c r="L252" i="1"/>
  <c r="N251" i="1"/>
  <c r="M251" i="1"/>
  <c r="L251" i="1"/>
  <c r="N250" i="1"/>
  <c r="M250" i="1"/>
  <c r="L250" i="1"/>
  <c r="N249" i="1"/>
  <c r="M249" i="1"/>
  <c r="L249" i="1"/>
  <c r="N248" i="1"/>
  <c r="M248" i="1"/>
  <c r="L248" i="1"/>
  <c r="N247" i="1"/>
  <c r="M247" i="1"/>
  <c r="L247" i="1"/>
  <c r="N246" i="1"/>
  <c r="M246" i="1"/>
  <c r="L246" i="1"/>
  <c r="N245" i="1"/>
  <c r="M245" i="1"/>
  <c r="L245" i="1"/>
  <c r="N244" i="1"/>
  <c r="M244" i="1"/>
  <c r="L244" i="1"/>
  <c r="N243" i="1"/>
  <c r="M243" i="1"/>
  <c r="L243" i="1"/>
  <c r="N242" i="1"/>
  <c r="M242" i="1"/>
  <c r="L242" i="1"/>
  <c r="N241" i="1"/>
  <c r="M241" i="1"/>
  <c r="L241" i="1"/>
  <c r="N240" i="1"/>
  <c r="M240" i="1"/>
  <c r="L240" i="1"/>
  <c r="N239" i="1"/>
  <c r="M239" i="1"/>
  <c r="L239" i="1"/>
  <c r="N238" i="1"/>
  <c r="M238" i="1"/>
  <c r="L238" i="1"/>
  <c r="N237" i="1"/>
  <c r="M237" i="1"/>
  <c r="L237" i="1"/>
  <c r="N236" i="1"/>
  <c r="M236" i="1"/>
  <c r="L236" i="1"/>
  <c r="N235" i="1"/>
  <c r="M235" i="1"/>
  <c r="L235" i="1"/>
  <c r="N234" i="1"/>
  <c r="M234" i="1"/>
  <c r="L234" i="1"/>
  <c r="N233" i="1"/>
  <c r="M233" i="1"/>
  <c r="L233" i="1"/>
  <c r="N232" i="1"/>
  <c r="M232" i="1"/>
  <c r="L232" i="1"/>
  <c r="N231" i="1"/>
  <c r="M231" i="1"/>
  <c r="L231" i="1"/>
  <c r="N230" i="1"/>
  <c r="M230" i="1"/>
  <c r="L230" i="1"/>
  <c r="N229" i="1"/>
  <c r="M229" i="1"/>
  <c r="L229" i="1"/>
  <c r="N228" i="1"/>
  <c r="M228" i="1"/>
  <c r="L228" i="1"/>
  <c r="N227" i="1"/>
  <c r="M227" i="1"/>
  <c r="L227" i="1"/>
  <c r="H227" i="1"/>
  <c r="H228" i="1" s="1"/>
  <c r="H229" i="1" s="1"/>
  <c r="H230" i="1" s="1"/>
  <c r="H231" i="1" s="1"/>
  <c r="H232" i="1" s="1"/>
  <c r="H233" i="1" s="1"/>
  <c r="H234" i="1" s="1"/>
  <c r="H235" i="1" s="1"/>
  <c r="H236" i="1" s="1"/>
  <c r="H237" i="1" s="1"/>
  <c r="H238" i="1" s="1"/>
  <c r="H239" i="1" s="1"/>
  <c r="H240" i="1" s="1"/>
  <c r="H241" i="1" s="1"/>
  <c r="H242" i="1" s="1"/>
  <c r="H243" i="1" s="1"/>
  <c r="H244" i="1" s="1"/>
  <c r="H245" i="1" s="1"/>
  <c r="H246" i="1" s="1"/>
  <c r="H247" i="1" s="1"/>
  <c r="H248" i="1" s="1"/>
  <c r="H249" i="1" s="1"/>
  <c r="H250" i="1" s="1"/>
  <c r="H251" i="1" s="1"/>
  <c r="H252" i="1" s="1"/>
  <c r="H253" i="1" s="1"/>
  <c r="H254" i="1" s="1"/>
  <c r="H255" i="1" s="1"/>
  <c r="H256" i="1" s="1"/>
  <c r="H257" i="1" s="1"/>
  <c r="H258" i="1" s="1"/>
  <c r="H259" i="1" s="1"/>
  <c r="H260" i="1" s="1"/>
  <c r="H261" i="1" s="1"/>
  <c r="H262" i="1" s="1"/>
  <c r="H263" i="1" s="1"/>
  <c r="H264" i="1" s="1"/>
  <c r="H265" i="1" s="1"/>
  <c r="H266" i="1" s="1"/>
  <c r="H267" i="1" s="1"/>
  <c r="H268" i="1" s="1"/>
  <c r="H269" i="1" s="1"/>
  <c r="H270" i="1" s="1"/>
  <c r="H271" i="1" s="1"/>
  <c r="N226" i="1"/>
  <c r="M226" i="1"/>
  <c r="L226" i="1"/>
  <c r="N225" i="1"/>
  <c r="M225" i="1"/>
  <c r="L225" i="1"/>
  <c r="H225" i="1"/>
  <c r="H224" i="1" s="1"/>
  <c r="H223" i="1" s="1"/>
  <c r="H222" i="1" s="1"/>
  <c r="H221" i="1" s="1"/>
  <c r="H220" i="1" s="1"/>
  <c r="H219" i="1" s="1"/>
  <c r="H218" i="1" s="1"/>
  <c r="H217" i="1" s="1"/>
  <c r="H216" i="1" s="1"/>
  <c r="H215" i="1" s="1"/>
  <c r="H214" i="1" s="1"/>
  <c r="H213" i="1" s="1"/>
  <c r="H212" i="1" s="1"/>
  <c r="H211" i="1" s="1"/>
  <c r="H210" i="1" s="1"/>
  <c r="H209" i="1" s="1"/>
  <c r="H208" i="1" s="1"/>
  <c r="H207" i="1" s="1"/>
  <c r="H206" i="1" s="1"/>
  <c r="H205" i="1" s="1"/>
  <c r="H204" i="1" s="1"/>
  <c r="H203" i="1" s="1"/>
  <c r="H202" i="1" s="1"/>
  <c r="H201" i="1" s="1"/>
  <c r="H200" i="1" s="1"/>
  <c r="H199" i="1" s="1"/>
  <c r="H198" i="1" s="1"/>
  <c r="H197" i="1" s="1"/>
  <c r="H196" i="1" s="1"/>
  <c r="H195" i="1" s="1"/>
  <c r="H194" i="1" s="1"/>
  <c r="H193" i="1" s="1"/>
  <c r="H192" i="1" s="1"/>
  <c r="H191" i="1" s="1"/>
  <c r="H190" i="1" s="1"/>
  <c r="H189" i="1" s="1"/>
  <c r="H188" i="1" s="1"/>
  <c r="H187" i="1" s="1"/>
  <c r="H186" i="1" s="1"/>
  <c r="H185" i="1" s="1"/>
  <c r="H184" i="1" s="1"/>
  <c r="H183" i="1" s="1"/>
  <c r="H182" i="1" s="1"/>
  <c r="N224" i="1"/>
  <c r="M224" i="1"/>
  <c r="L224" i="1"/>
  <c r="N223" i="1"/>
  <c r="M223" i="1"/>
  <c r="L223" i="1"/>
  <c r="N222" i="1"/>
  <c r="M222" i="1"/>
  <c r="L222" i="1"/>
  <c r="N221" i="1"/>
  <c r="M221" i="1"/>
  <c r="L221" i="1"/>
  <c r="N220" i="1"/>
  <c r="M220" i="1"/>
  <c r="L220" i="1"/>
  <c r="N219" i="1"/>
  <c r="M219" i="1"/>
  <c r="L219" i="1"/>
  <c r="N218" i="1"/>
  <c r="M218" i="1"/>
  <c r="L218" i="1"/>
  <c r="N217" i="1"/>
  <c r="M217" i="1"/>
  <c r="L217" i="1"/>
  <c r="N216" i="1"/>
  <c r="M216" i="1"/>
  <c r="L216" i="1"/>
  <c r="N215" i="1"/>
  <c r="M215" i="1"/>
  <c r="L215" i="1"/>
  <c r="N214" i="1"/>
  <c r="M214" i="1"/>
  <c r="L214" i="1"/>
  <c r="N213" i="1"/>
  <c r="M213" i="1"/>
  <c r="L213" i="1"/>
  <c r="N212" i="1"/>
  <c r="M212" i="1"/>
  <c r="L212" i="1"/>
  <c r="N211" i="1"/>
  <c r="M211" i="1"/>
  <c r="L211" i="1"/>
  <c r="N210" i="1"/>
  <c r="M210" i="1"/>
  <c r="L210" i="1"/>
  <c r="N209" i="1"/>
  <c r="M209" i="1"/>
  <c r="L209" i="1"/>
  <c r="N208" i="1"/>
  <c r="M208" i="1"/>
  <c r="L208" i="1"/>
  <c r="N207" i="1"/>
  <c r="M207" i="1"/>
  <c r="L207" i="1"/>
  <c r="N206" i="1"/>
  <c r="M206" i="1"/>
  <c r="L206" i="1"/>
  <c r="N205" i="1"/>
  <c r="M205" i="1"/>
  <c r="L205" i="1"/>
  <c r="N204" i="1"/>
  <c r="M204" i="1"/>
  <c r="L204" i="1"/>
  <c r="N203" i="1"/>
  <c r="M203" i="1"/>
  <c r="L203" i="1"/>
  <c r="N202" i="1"/>
  <c r="M202" i="1"/>
  <c r="L202" i="1"/>
  <c r="N201" i="1"/>
  <c r="M201" i="1"/>
  <c r="L201" i="1"/>
  <c r="N200" i="1"/>
  <c r="M200" i="1"/>
  <c r="L200" i="1"/>
  <c r="N199" i="1"/>
  <c r="M199" i="1"/>
  <c r="L199" i="1"/>
  <c r="N198" i="1"/>
  <c r="M198" i="1"/>
  <c r="L198" i="1"/>
  <c r="N197" i="1"/>
  <c r="M197" i="1"/>
  <c r="L197" i="1"/>
  <c r="N196" i="1"/>
  <c r="M196" i="1"/>
  <c r="L196" i="1"/>
  <c r="N195" i="1"/>
  <c r="M195" i="1"/>
  <c r="L195" i="1"/>
  <c r="N194" i="1"/>
  <c r="M194" i="1"/>
  <c r="L194" i="1"/>
  <c r="N193" i="1"/>
  <c r="M193" i="1"/>
  <c r="L193" i="1"/>
  <c r="N192" i="1"/>
  <c r="M192" i="1"/>
  <c r="L192" i="1"/>
  <c r="N191" i="1"/>
  <c r="M191" i="1"/>
  <c r="L191" i="1"/>
  <c r="N190" i="1"/>
  <c r="M190" i="1"/>
  <c r="L190" i="1"/>
  <c r="N189" i="1"/>
  <c r="M189" i="1"/>
  <c r="L189" i="1"/>
  <c r="N188" i="1"/>
  <c r="M188" i="1"/>
  <c r="L188" i="1"/>
  <c r="N187" i="1"/>
  <c r="M187" i="1"/>
  <c r="L187" i="1"/>
  <c r="N186" i="1"/>
  <c r="M186" i="1"/>
  <c r="L186" i="1"/>
  <c r="N185" i="1"/>
  <c r="M185" i="1"/>
  <c r="L185" i="1"/>
  <c r="N184" i="1"/>
  <c r="M184" i="1"/>
  <c r="L184" i="1"/>
  <c r="N183" i="1"/>
  <c r="M183" i="1"/>
  <c r="L183" i="1"/>
  <c r="N182" i="1"/>
  <c r="M182" i="1"/>
  <c r="L182" i="1"/>
  <c r="N181" i="1"/>
  <c r="M181" i="1"/>
  <c r="L181" i="1"/>
  <c r="N180" i="1"/>
  <c r="M180" i="1"/>
  <c r="L180" i="1"/>
  <c r="N179" i="1"/>
  <c r="M179" i="1"/>
  <c r="L179" i="1"/>
  <c r="N178" i="1"/>
  <c r="M178" i="1"/>
  <c r="L178" i="1"/>
  <c r="N177" i="1"/>
  <c r="M177" i="1"/>
  <c r="L177" i="1"/>
  <c r="N176" i="1"/>
  <c r="M176" i="1"/>
  <c r="L176" i="1"/>
  <c r="N175" i="1"/>
  <c r="M175" i="1"/>
  <c r="L175" i="1"/>
  <c r="N174" i="1"/>
  <c r="M174" i="1"/>
  <c r="L174" i="1"/>
  <c r="N173" i="1"/>
  <c r="M173" i="1"/>
  <c r="L173" i="1"/>
  <c r="N172" i="1"/>
  <c r="M172" i="1"/>
  <c r="L172" i="1"/>
  <c r="N171" i="1"/>
  <c r="M171" i="1"/>
  <c r="L171" i="1"/>
  <c r="N170" i="1"/>
  <c r="M170" i="1"/>
  <c r="L170" i="1"/>
  <c r="N169" i="1"/>
  <c r="M169" i="1"/>
  <c r="L169" i="1"/>
  <c r="N168" i="1"/>
  <c r="M168" i="1"/>
  <c r="L168" i="1"/>
  <c r="N167" i="1"/>
  <c r="M167" i="1"/>
  <c r="L167" i="1"/>
  <c r="N166" i="1"/>
  <c r="M166" i="1"/>
  <c r="L166" i="1"/>
  <c r="N165" i="1"/>
  <c r="M165" i="1"/>
  <c r="L165" i="1"/>
  <c r="N164" i="1"/>
  <c r="M164" i="1"/>
  <c r="L164" i="1"/>
  <c r="N163" i="1"/>
  <c r="M163" i="1"/>
  <c r="L163" i="1"/>
  <c r="N162" i="1"/>
  <c r="M162" i="1"/>
  <c r="L162" i="1"/>
  <c r="N161" i="1"/>
  <c r="M161" i="1"/>
  <c r="L161" i="1"/>
  <c r="N160" i="1"/>
  <c r="M160" i="1"/>
  <c r="L160" i="1"/>
  <c r="N159" i="1"/>
  <c r="M159" i="1"/>
  <c r="L159" i="1"/>
  <c r="N158" i="1"/>
  <c r="M158" i="1"/>
  <c r="L158" i="1"/>
  <c r="N157" i="1"/>
  <c r="M157" i="1"/>
  <c r="L157" i="1"/>
  <c r="N156" i="1"/>
  <c r="M156" i="1"/>
  <c r="L156" i="1"/>
  <c r="N155" i="1"/>
  <c r="M155" i="1"/>
  <c r="L155" i="1"/>
  <c r="N154" i="1"/>
  <c r="M154" i="1"/>
  <c r="L154" i="1"/>
  <c r="N153" i="1"/>
  <c r="M153" i="1"/>
  <c r="L153" i="1"/>
  <c r="N152" i="1"/>
  <c r="M152" i="1"/>
  <c r="L152" i="1"/>
  <c r="N151" i="1"/>
  <c r="M151" i="1"/>
  <c r="L151" i="1"/>
  <c r="N150" i="1"/>
  <c r="M150" i="1"/>
  <c r="L150" i="1"/>
  <c r="N149" i="1"/>
  <c r="M149" i="1"/>
  <c r="L149" i="1"/>
  <c r="N148" i="1"/>
  <c r="M148" i="1"/>
  <c r="L148" i="1"/>
  <c r="N147" i="1"/>
  <c r="M147" i="1"/>
  <c r="L147" i="1"/>
  <c r="N146" i="1"/>
  <c r="M146" i="1"/>
  <c r="L146" i="1"/>
  <c r="N145" i="1"/>
  <c r="M145" i="1"/>
  <c r="L145" i="1"/>
  <c r="N144" i="1"/>
  <c r="M144" i="1"/>
  <c r="L144" i="1"/>
  <c r="N143" i="1"/>
  <c r="M143" i="1"/>
  <c r="L143" i="1"/>
  <c r="N142" i="1"/>
  <c r="M142" i="1"/>
  <c r="L142" i="1"/>
  <c r="N141" i="1"/>
  <c r="M141" i="1"/>
  <c r="L141" i="1"/>
  <c r="N140" i="1"/>
  <c r="M140" i="1"/>
  <c r="L140" i="1"/>
  <c r="N139" i="1"/>
  <c r="M139" i="1"/>
  <c r="L139" i="1"/>
  <c r="N138" i="1"/>
  <c r="M138" i="1"/>
  <c r="L138" i="1"/>
  <c r="H138" i="1"/>
  <c r="H139" i="1" s="1"/>
  <c r="H140" i="1" s="1"/>
  <c r="H141" i="1" s="1"/>
  <c r="H142" i="1" s="1"/>
  <c r="H143" i="1" s="1"/>
  <c r="H144" i="1" s="1"/>
  <c r="H145" i="1" s="1"/>
  <c r="H146" i="1" s="1"/>
  <c r="H147" i="1" s="1"/>
  <c r="H148" i="1" s="1"/>
  <c r="H149" i="1" s="1"/>
  <c r="H150" i="1" s="1"/>
  <c r="H151" i="1" s="1"/>
  <c r="H152" i="1" s="1"/>
  <c r="H153" i="1" s="1"/>
  <c r="H154" i="1" s="1"/>
  <c r="H155" i="1" s="1"/>
  <c r="H156" i="1" s="1"/>
  <c r="H157" i="1" s="1"/>
  <c r="H158" i="1" s="1"/>
  <c r="H159" i="1" s="1"/>
  <c r="H160" i="1" s="1"/>
  <c r="H161" i="1" s="1"/>
  <c r="H162" i="1" s="1"/>
  <c r="H163" i="1" s="1"/>
  <c r="H164" i="1" s="1"/>
  <c r="H165" i="1" s="1"/>
  <c r="H166" i="1" s="1"/>
  <c r="H167" i="1" s="1"/>
  <c r="H168" i="1" s="1"/>
  <c r="H169" i="1" s="1"/>
  <c r="H170" i="1" s="1"/>
  <c r="H171" i="1" s="1"/>
  <c r="H172" i="1" s="1"/>
  <c r="H173" i="1" s="1"/>
  <c r="H174" i="1" s="1"/>
  <c r="H175" i="1" s="1"/>
  <c r="H176" i="1" s="1"/>
  <c r="H177" i="1" s="1"/>
  <c r="H178" i="1" s="1"/>
  <c r="H179" i="1" s="1"/>
  <c r="H180" i="1" s="1"/>
  <c r="H181" i="1" s="1"/>
  <c r="N137" i="1"/>
  <c r="M137" i="1"/>
  <c r="L137" i="1"/>
  <c r="H137" i="1"/>
  <c r="N136" i="1"/>
  <c r="M136" i="1"/>
  <c r="L136" i="1"/>
  <c r="N135" i="1"/>
  <c r="M135" i="1"/>
  <c r="L135" i="1"/>
  <c r="H135" i="1"/>
  <c r="H134" i="1" s="1"/>
  <c r="H133" i="1" s="1"/>
  <c r="H132" i="1" s="1"/>
  <c r="H131" i="1" s="1"/>
  <c r="H130" i="1" s="1"/>
  <c r="H129" i="1" s="1"/>
  <c r="H128" i="1" s="1"/>
  <c r="H127" i="1" s="1"/>
  <c r="H126" i="1" s="1"/>
  <c r="H125" i="1" s="1"/>
  <c r="H124" i="1" s="1"/>
  <c r="H123" i="1" s="1"/>
  <c r="H122" i="1" s="1"/>
  <c r="H121" i="1" s="1"/>
  <c r="H120" i="1" s="1"/>
  <c r="H119" i="1" s="1"/>
  <c r="H118" i="1" s="1"/>
  <c r="H117" i="1" s="1"/>
  <c r="H116" i="1" s="1"/>
  <c r="H115" i="1" s="1"/>
  <c r="H114" i="1" s="1"/>
  <c r="H113" i="1" s="1"/>
  <c r="H112" i="1" s="1"/>
  <c r="H111" i="1" s="1"/>
  <c r="H110" i="1" s="1"/>
  <c r="H109" i="1" s="1"/>
  <c r="H108" i="1" s="1"/>
  <c r="H107" i="1" s="1"/>
  <c r="H106" i="1" s="1"/>
  <c r="H105" i="1" s="1"/>
  <c r="H104" i="1" s="1"/>
  <c r="H103" i="1" s="1"/>
  <c r="H102" i="1" s="1"/>
  <c r="H101" i="1" s="1"/>
  <c r="H100" i="1" s="1"/>
  <c r="H99" i="1" s="1"/>
  <c r="H98" i="1" s="1"/>
  <c r="H97" i="1" s="1"/>
  <c r="H96" i="1" s="1"/>
  <c r="H95" i="1" s="1"/>
  <c r="H94" i="1" s="1"/>
  <c r="H93" i="1" s="1"/>
  <c r="H92" i="1" s="1"/>
  <c r="N134" i="1"/>
  <c r="M134" i="1"/>
  <c r="L134" i="1"/>
  <c r="N133" i="1"/>
  <c r="M133" i="1"/>
  <c r="L133" i="1"/>
  <c r="N132" i="1"/>
  <c r="M132" i="1"/>
  <c r="L132" i="1"/>
  <c r="N131" i="1"/>
  <c r="M131" i="1"/>
  <c r="L131" i="1"/>
  <c r="N130" i="1"/>
  <c r="M130" i="1"/>
  <c r="L130" i="1"/>
  <c r="N129" i="1"/>
  <c r="M129" i="1"/>
  <c r="L129" i="1"/>
  <c r="N128" i="1"/>
  <c r="M128" i="1"/>
  <c r="L128" i="1"/>
  <c r="N127" i="1"/>
  <c r="M127" i="1"/>
  <c r="L127" i="1"/>
  <c r="N126" i="1"/>
  <c r="M126" i="1"/>
  <c r="L126" i="1"/>
  <c r="N125" i="1"/>
  <c r="M125" i="1"/>
  <c r="L125" i="1"/>
  <c r="N124" i="1"/>
  <c r="M124" i="1"/>
  <c r="L124" i="1"/>
  <c r="N123" i="1"/>
  <c r="M123" i="1"/>
  <c r="L123" i="1"/>
  <c r="N122" i="1"/>
  <c r="M122" i="1"/>
  <c r="L122" i="1"/>
  <c r="N121" i="1"/>
  <c r="M121" i="1"/>
  <c r="L121" i="1"/>
  <c r="N120" i="1"/>
  <c r="M120" i="1"/>
  <c r="L120" i="1"/>
  <c r="N119" i="1"/>
  <c r="M119" i="1"/>
  <c r="L119" i="1"/>
  <c r="N118" i="1"/>
  <c r="M118" i="1"/>
  <c r="L118" i="1"/>
  <c r="N117" i="1"/>
  <c r="M117" i="1"/>
  <c r="L117" i="1"/>
  <c r="N116" i="1"/>
  <c r="M116" i="1"/>
  <c r="L116" i="1"/>
  <c r="N115" i="1"/>
  <c r="M115" i="1"/>
  <c r="L115" i="1"/>
  <c r="N114" i="1"/>
  <c r="M114" i="1"/>
  <c r="L114" i="1"/>
  <c r="N113" i="1"/>
  <c r="M113" i="1"/>
  <c r="L113" i="1"/>
  <c r="N112" i="1"/>
  <c r="M112" i="1"/>
  <c r="L112" i="1"/>
  <c r="N111" i="1"/>
  <c r="M111" i="1"/>
  <c r="L111" i="1"/>
  <c r="N110" i="1"/>
  <c r="M110" i="1"/>
  <c r="L110" i="1"/>
  <c r="N109" i="1"/>
  <c r="M109" i="1"/>
  <c r="L109" i="1"/>
  <c r="N108" i="1"/>
  <c r="M108" i="1"/>
  <c r="L108" i="1"/>
  <c r="N107" i="1"/>
  <c r="M107" i="1"/>
  <c r="L107" i="1"/>
  <c r="N106" i="1"/>
  <c r="M106" i="1"/>
  <c r="L106" i="1"/>
  <c r="N105" i="1"/>
  <c r="M105" i="1"/>
  <c r="L105" i="1"/>
  <c r="N104" i="1"/>
  <c r="M104" i="1"/>
  <c r="L104" i="1"/>
  <c r="N103" i="1"/>
  <c r="M103" i="1"/>
  <c r="L103" i="1"/>
  <c r="N102" i="1"/>
  <c r="M102" i="1"/>
  <c r="L102" i="1"/>
  <c r="N101" i="1"/>
  <c r="M101" i="1"/>
  <c r="L101" i="1"/>
  <c r="N100" i="1"/>
  <c r="M100" i="1"/>
  <c r="L100" i="1"/>
  <c r="N99" i="1"/>
  <c r="M99" i="1"/>
  <c r="L99" i="1"/>
  <c r="N98" i="1"/>
  <c r="M98" i="1"/>
  <c r="L98" i="1"/>
  <c r="N97" i="1"/>
  <c r="M97" i="1"/>
  <c r="L97" i="1"/>
  <c r="N96" i="1"/>
  <c r="M96" i="1"/>
  <c r="L96" i="1"/>
  <c r="N95" i="1"/>
  <c r="M95" i="1"/>
  <c r="L95" i="1"/>
  <c r="N94" i="1"/>
  <c r="M94" i="1"/>
  <c r="L94" i="1"/>
  <c r="N93" i="1"/>
  <c r="M93" i="1"/>
  <c r="L93" i="1"/>
  <c r="N92" i="1"/>
  <c r="M92" i="1"/>
  <c r="L92" i="1"/>
  <c r="N91" i="1"/>
  <c r="M91" i="1"/>
  <c r="L91" i="1"/>
  <c r="N90" i="1"/>
  <c r="M90" i="1"/>
  <c r="L90" i="1"/>
  <c r="N89" i="1"/>
  <c r="M89" i="1"/>
  <c r="L89" i="1"/>
  <c r="N88" i="1"/>
  <c r="M88" i="1"/>
  <c r="L88" i="1"/>
  <c r="N87" i="1"/>
  <c r="M87" i="1"/>
  <c r="L87" i="1"/>
  <c r="N86" i="1"/>
  <c r="M86" i="1"/>
  <c r="L86" i="1"/>
  <c r="N85" i="1"/>
  <c r="M85" i="1"/>
  <c r="L85" i="1"/>
  <c r="N84" i="1"/>
  <c r="M84" i="1"/>
  <c r="L84" i="1"/>
  <c r="N83" i="1"/>
  <c r="M83" i="1"/>
  <c r="L83" i="1"/>
  <c r="N82" i="1"/>
  <c r="M82" i="1"/>
  <c r="L82" i="1"/>
  <c r="N81" i="1"/>
  <c r="M81" i="1"/>
  <c r="L81" i="1"/>
  <c r="N80" i="1"/>
  <c r="M80" i="1"/>
  <c r="L80" i="1"/>
  <c r="N79" i="1"/>
  <c r="M79" i="1"/>
  <c r="L79" i="1"/>
  <c r="N78" i="1"/>
  <c r="M78" i="1"/>
  <c r="L78" i="1"/>
  <c r="N77" i="1"/>
  <c r="M77" i="1"/>
  <c r="L77" i="1"/>
  <c r="N76" i="1"/>
  <c r="M76" i="1"/>
  <c r="L76" i="1"/>
  <c r="N75" i="1"/>
  <c r="M75" i="1"/>
  <c r="L75" i="1"/>
  <c r="N74" i="1"/>
  <c r="M74" i="1"/>
  <c r="L74" i="1"/>
  <c r="N73" i="1"/>
  <c r="M73" i="1"/>
  <c r="L73" i="1"/>
  <c r="N72" i="1"/>
  <c r="M72" i="1"/>
  <c r="L72" i="1"/>
  <c r="N71" i="1"/>
  <c r="M71" i="1"/>
  <c r="L71" i="1"/>
  <c r="N70" i="1"/>
  <c r="M70" i="1"/>
  <c r="L70" i="1"/>
  <c r="N69" i="1"/>
  <c r="M69" i="1"/>
  <c r="L69" i="1"/>
  <c r="N68" i="1"/>
  <c r="M68" i="1"/>
  <c r="L68" i="1"/>
  <c r="N67" i="1"/>
  <c r="M67" i="1"/>
  <c r="L67" i="1"/>
  <c r="N66" i="1"/>
  <c r="M66" i="1"/>
  <c r="L66" i="1"/>
  <c r="N65" i="1"/>
  <c r="M65" i="1"/>
  <c r="L65" i="1"/>
  <c r="N64" i="1"/>
  <c r="M64" i="1"/>
  <c r="L64" i="1"/>
  <c r="N63" i="1"/>
  <c r="M63" i="1"/>
  <c r="L63" i="1"/>
  <c r="N62" i="1"/>
  <c r="M62" i="1"/>
  <c r="L62" i="1"/>
  <c r="N61" i="1"/>
  <c r="M61" i="1"/>
  <c r="L61" i="1"/>
  <c r="N60" i="1"/>
  <c r="M60" i="1"/>
  <c r="L60" i="1"/>
  <c r="N59" i="1"/>
  <c r="M59" i="1"/>
  <c r="L59" i="1"/>
  <c r="N58" i="1"/>
  <c r="M58" i="1"/>
  <c r="L58" i="1"/>
  <c r="N57" i="1"/>
  <c r="M57" i="1"/>
  <c r="L57" i="1"/>
  <c r="N56" i="1"/>
  <c r="M56" i="1"/>
  <c r="L56" i="1"/>
  <c r="N55" i="1"/>
  <c r="M55" i="1"/>
  <c r="L55" i="1"/>
  <c r="N54" i="1"/>
  <c r="M54" i="1"/>
  <c r="L54" i="1"/>
  <c r="N53" i="1"/>
  <c r="M53" i="1"/>
  <c r="L53" i="1"/>
  <c r="N52" i="1"/>
  <c r="M52" i="1"/>
  <c r="L52" i="1"/>
  <c r="N51" i="1"/>
  <c r="M51" i="1"/>
  <c r="L51" i="1"/>
  <c r="N50" i="1"/>
  <c r="M50" i="1"/>
  <c r="L50" i="1"/>
  <c r="N49" i="1"/>
  <c r="M49" i="1"/>
  <c r="L49" i="1"/>
  <c r="N48" i="1"/>
  <c r="M48" i="1"/>
  <c r="L48" i="1"/>
  <c r="H48" i="1"/>
  <c r="H49" i="1" s="1"/>
  <c r="H50" i="1" s="1"/>
  <c r="H51" i="1" s="1"/>
  <c r="H52" i="1" s="1"/>
  <c r="H53" i="1" s="1"/>
  <c r="H54" i="1" s="1"/>
  <c r="H55" i="1" s="1"/>
  <c r="H56" i="1" s="1"/>
  <c r="H57" i="1" s="1"/>
  <c r="H58" i="1" s="1"/>
  <c r="H59" i="1" s="1"/>
  <c r="H60" i="1" s="1"/>
  <c r="H61" i="1" s="1"/>
  <c r="H62" i="1" s="1"/>
  <c r="H63" i="1" s="1"/>
  <c r="H64" i="1" s="1"/>
  <c r="H65" i="1" s="1"/>
  <c r="H66" i="1" s="1"/>
  <c r="H67" i="1" s="1"/>
  <c r="H68" i="1" s="1"/>
  <c r="H69" i="1" s="1"/>
  <c r="H70" i="1" s="1"/>
  <c r="H71" i="1" s="1"/>
  <c r="H72" i="1" s="1"/>
  <c r="H73" i="1" s="1"/>
  <c r="H74" i="1" s="1"/>
  <c r="H75" i="1" s="1"/>
  <c r="H76" i="1" s="1"/>
  <c r="H77" i="1" s="1"/>
  <c r="H78" i="1" s="1"/>
  <c r="H79" i="1" s="1"/>
  <c r="H80" i="1" s="1"/>
  <c r="H81" i="1" s="1"/>
  <c r="H82" i="1" s="1"/>
  <c r="H83" i="1" s="1"/>
  <c r="H84" i="1" s="1"/>
  <c r="H85" i="1" s="1"/>
  <c r="H86" i="1" s="1"/>
  <c r="H87" i="1" s="1"/>
  <c r="H88" i="1" s="1"/>
  <c r="H89" i="1" s="1"/>
  <c r="H90" i="1" s="1"/>
  <c r="H91" i="1" s="1"/>
  <c r="N47" i="1"/>
  <c r="M47" i="1"/>
  <c r="L47" i="1"/>
  <c r="H47" i="1"/>
  <c r="N46" i="1"/>
  <c r="M46" i="1"/>
  <c r="L46" i="1"/>
  <c r="N45" i="1"/>
  <c r="M45" i="1"/>
  <c r="L45" i="1"/>
  <c r="H45" i="1"/>
  <c r="H44" i="1" s="1"/>
  <c r="H43" i="1" s="1"/>
  <c r="H42" i="1" s="1"/>
  <c r="H41" i="1" s="1"/>
  <c r="H40" i="1" s="1"/>
  <c r="H39" i="1" s="1"/>
  <c r="H38" i="1" s="1"/>
  <c r="H37" i="1" s="1"/>
  <c r="H36" i="1" s="1"/>
  <c r="H35" i="1" s="1"/>
  <c r="H34" i="1" s="1"/>
  <c r="H33" i="1" s="1"/>
  <c r="H32" i="1" s="1"/>
  <c r="H31" i="1" s="1"/>
  <c r="H30" i="1" s="1"/>
  <c r="H29" i="1" s="1"/>
  <c r="H28" i="1" s="1"/>
  <c r="H27" i="1" s="1"/>
  <c r="H26" i="1" s="1"/>
  <c r="H25" i="1" s="1"/>
  <c r="H24" i="1" s="1"/>
  <c r="H23" i="1" s="1"/>
  <c r="H22" i="1" s="1"/>
  <c r="H21" i="1" s="1"/>
  <c r="H20" i="1" s="1"/>
  <c r="H19" i="1" s="1"/>
  <c r="H18" i="1" s="1"/>
  <c r="H17" i="1" s="1"/>
  <c r="H16" i="1" s="1"/>
  <c r="H15" i="1" s="1"/>
  <c r="H14" i="1" s="1"/>
  <c r="H13" i="1" s="1"/>
  <c r="H12" i="1" s="1"/>
  <c r="H11" i="1" s="1"/>
  <c r="H10" i="1" s="1"/>
  <c r="H9" i="1" s="1"/>
  <c r="H8" i="1" s="1"/>
  <c r="H7" i="1" s="1"/>
  <c r="H6" i="1" s="1"/>
  <c r="H5" i="1" s="1"/>
  <c r="H4" i="1" s="1"/>
  <c r="H3" i="1" s="1"/>
  <c r="H2" i="1" s="1"/>
  <c r="N44" i="1"/>
  <c r="M44" i="1"/>
  <c r="L44" i="1"/>
  <c r="N43" i="1"/>
  <c r="M43" i="1"/>
  <c r="L43" i="1"/>
  <c r="N42" i="1"/>
  <c r="M42" i="1"/>
  <c r="L42" i="1"/>
  <c r="N41" i="1"/>
  <c r="M41" i="1"/>
  <c r="L41" i="1"/>
  <c r="N40" i="1"/>
  <c r="M40" i="1"/>
  <c r="L40" i="1"/>
  <c r="N39" i="1"/>
  <c r="M39" i="1"/>
  <c r="L39" i="1"/>
  <c r="N38" i="1"/>
  <c r="M38" i="1"/>
  <c r="L38" i="1"/>
  <c r="N37" i="1"/>
  <c r="M37" i="1"/>
  <c r="L37" i="1"/>
  <c r="N36" i="1"/>
  <c r="M36" i="1"/>
  <c r="L36" i="1"/>
  <c r="N35" i="1"/>
  <c r="M35" i="1"/>
  <c r="L35" i="1"/>
  <c r="N34" i="1"/>
  <c r="M34" i="1"/>
  <c r="L34" i="1"/>
  <c r="N33" i="1"/>
  <c r="M33" i="1"/>
  <c r="L33" i="1"/>
  <c r="N32" i="1"/>
  <c r="M32" i="1"/>
  <c r="L32" i="1"/>
  <c r="N31" i="1"/>
  <c r="M31" i="1"/>
  <c r="L31" i="1"/>
  <c r="N30" i="1"/>
  <c r="M30" i="1"/>
  <c r="L30" i="1"/>
  <c r="N29" i="1"/>
  <c r="M29" i="1"/>
  <c r="L29" i="1"/>
  <c r="N28" i="1"/>
  <c r="M28" i="1"/>
  <c r="L28" i="1"/>
  <c r="N27" i="1"/>
  <c r="M27" i="1"/>
  <c r="L27" i="1"/>
  <c r="N26" i="1"/>
  <c r="M26" i="1"/>
  <c r="L26" i="1"/>
  <c r="N25" i="1"/>
  <c r="M25" i="1"/>
  <c r="L25" i="1"/>
  <c r="N24" i="1"/>
  <c r="M24" i="1"/>
  <c r="L24" i="1"/>
  <c r="N23" i="1"/>
  <c r="M23" i="1"/>
  <c r="L23" i="1"/>
  <c r="N22" i="1"/>
  <c r="M22" i="1"/>
  <c r="L22" i="1"/>
  <c r="N21" i="1"/>
  <c r="M21" i="1"/>
  <c r="L21" i="1"/>
  <c r="N20" i="1"/>
  <c r="M20" i="1"/>
  <c r="L20" i="1"/>
  <c r="N19" i="1"/>
  <c r="M19" i="1"/>
  <c r="L19" i="1"/>
  <c r="N18" i="1"/>
  <c r="M18" i="1"/>
  <c r="L18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N2" i="1"/>
  <c r="M2" i="1"/>
  <c r="L2" i="1"/>
  <c r="F5" i="2"/>
  <c r="E5" i="2"/>
  <c r="D2" i="3"/>
  <c r="E2" i="3"/>
  <c r="F2" i="3"/>
  <c r="G2" i="3"/>
  <c r="E2" i="2"/>
  <c r="F2" i="2" s="1"/>
  <c r="E3" i="2"/>
  <c r="F3" i="2" s="1"/>
  <c r="E6" i="2"/>
  <c r="F6" i="2" s="1"/>
</calcChain>
</file>

<file path=xl/sharedStrings.xml><?xml version="1.0" encoding="utf-8"?>
<sst xmlns="http://schemas.openxmlformats.org/spreadsheetml/2006/main" count="883" uniqueCount="335">
  <si>
    <t>Survey</t>
  </si>
  <si>
    <t>TTAG</t>
  </si>
  <si>
    <t>ACCUM</t>
  </si>
  <si>
    <t>Target</t>
  </si>
  <si>
    <t>Pointing</t>
  </si>
  <si>
    <t>Supernova Remnants Survey</t>
  </si>
  <si>
    <t>LyC Galaxies Survey</t>
  </si>
  <si>
    <t>Nearby Galaxies Survey</t>
  </si>
  <si>
    <t>N Targets</t>
  </si>
  <si>
    <t>Pointings Per Target</t>
  </si>
  <si>
    <t>SPRITE Flux Standards</t>
  </si>
  <si>
    <t>SPRITE Wavelength Standards</t>
  </si>
  <si>
    <t>ExpTime Per Pointing [s]</t>
  </si>
  <si>
    <t>Obs Mode</t>
  </si>
  <si>
    <t>ExpTime Per Target [s]</t>
  </si>
  <si>
    <t>Total ExpTime</t>
  </si>
  <si>
    <t>HH</t>
  </si>
  <si>
    <t>MM</t>
  </si>
  <si>
    <t>SS</t>
  </si>
  <si>
    <t>mm</t>
  </si>
  <si>
    <t>ss</t>
  </si>
  <si>
    <t>dd</t>
  </si>
  <si>
    <t>A</t>
  </si>
  <si>
    <t>Repeat Targets</t>
  </si>
  <si>
    <t>No</t>
  </si>
  <si>
    <t>Yes</t>
  </si>
  <si>
    <t>SurveyPriority</t>
  </si>
  <si>
    <t>Rotation Angle</t>
  </si>
  <si>
    <t>Exposure Mode</t>
  </si>
  <si>
    <t>Max Exp. Time [sec]</t>
  </si>
  <si>
    <t>Min Exp. Time [sec]</t>
  </si>
  <si>
    <t>Current Exp. Time [sec]</t>
  </si>
  <si>
    <t>Base Priority</t>
  </si>
  <si>
    <t>Initial Charge [J]</t>
  </si>
  <si>
    <t>Pointing [W]</t>
  </si>
  <si>
    <t>Charging [W]</t>
  </si>
  <si>
    <t>Downlink [W]</t>
  </si>
  <si>
    <t>Idle [W]</t>
  </si>
  <si>
    <t>Minimum ExpTime [s]</t>
  </si>
  <si>
    <t>Observation [W]</t>
  </si>
  <si>
    <t>Maximum Charge [J]</t>
  </si>
  <si>
    <t>Initial Data Size Stored [MB]</t>
  </si>
  <si>
    <t>Dangerous Data Size Stored [MB]</t>
  </si>
  <si>
    <t>ACCUM File Size [MB]</t>
  </si>
  <si>
    <t>TTAG File Size [MB]</t>
  </si>
  <si>
    <t>Downlink Data Rate [MB/s]</t>
  </si>
  <si>
    <t>https://celestrak.org/NORAD/elements/gp.php?GROUP=active&amp;FORMAT=tle</t>
  </si>
  <si>
    <t>cute_tle</t>
  </si>
  <si>
    <t>Satellite Name</t>
  </si>
  <si>
    <t>CUTE</t>
  </si>
  <si>
    <t>Timestep [sec]</t>
  </si>
  <si>
    <t>LASP</t>
  </si>
  <si>
    <t>Latitude</t>
  </si>
  <si>
    <t>Longitude</t>
  </si>
  <si>
    <t>Name</t>
  </si>
  <si>
    <t>Altitude [m]</t>
  </si>
  <si>
    <t>Elevation Constraint [deg]</t>
  </si>
  <si>
    <t>TLE URL</t>
  </si>
  <si>
    <t>TLE File</t>
  </si>
  <si>
    <t>Polar Constraint</t>
  </si>
  <si>
    <t>Simulation Start Time [YYYY-MM-DD HH:MM:SS UTC]</t>
  </si>
  <si>
    <t>Simulation End Time [YYYY-MM-DD HH:MM:SS UTC]</t>
  </si>
  <si>
    <t>ICA</t>
  </si>
  <si>
    <t>Earth Angle Constraint</t>
  </si>
  <si>
    <t>Moon Angle Constraint</t>
  </si>
  <si>
    <t>BD+33d2642_0</t>
  </si>
  <si>
    <t>BD+33d2642_2</t>
  </si>
  <si>
    <t>BD+33d2642_4</t>
  </si>
  <si>
    <t>BD+33d2642_88</t>
  </si>
  <si>
    <t>BD+33d2642_86</t>
  </si>
  <si>
    <t>BD+33d2642_84</t>
  </si>
  <si>
    <t>BD+33d2642_82</t>
  </si>
  <si>
    <t>BD+33d2642_80</t>
  </si>
  <si>
    <t>BD+33d2642_78</t>
  </si>
  <si>
    <t>BD+33d2642_76</t>
  </si>
  <si>
    <t>BD+33d2642_74</t>
  </si>
  <si>
    <t>BD+33d2642_72</t>
  </si>
  <si>
    <t>BD+33d2642_70</t>
  </si>
  <si>
    <t>BD+33d2642_68</t>
  </si>
  <si>
    <t>BD+33d2642_66</t>
  </si>
  <si>
    <t>BD+33d2642_64</t>
  </si>
  <si>
    <t>BD+33d2642_62</t>
  </si>
  <si>
    <t>BD+33d2642_60</t>
  </si>
  <si>
    <t>BD+33d2642_58</t>
  </si>
  <si>
    <t>BD+33d2642_56</t>
  </si>
  <si>
    <t>BD+33d2642_54</t>
  </si>
  <si>
    <t>BD+33d2642_52</t>
  </si>
  <si>
    <t>BD+33d2642_50</t>
  </si>
  <si>
    <t>BD+33d2642_48</t>
  </si>
  <si>
    <t>BD+33d2642_46</t>
  </si>
  <si>
    <t>BD+33d2642_44</t>
  </si>
  <si>
    <t>BD+33d2642_42</t>
  </si>
  <si>
    <t>BD+33d2642_40</t>
  </si>
  <si>
    <t>BD+33d2642_38</t>
  </si>
  <si>
    <t>BD+33d2642_36</t>
  </si>
  <si>
    <t>BD+33d2642_34</t>
  </si>
  <si>
    <t>BD+33d2642_32</t>
  </si>
  <si>
    <t>BD+33d2642_30</t>
  </si>
  <si>
    <t>BD+33d2642_28</t>
  </si>
  <si>
    <t>BD+33d2642_26</t>
  </si>
  <si>
    <t>BD+33d2642_24</t>
  </si>
  <si>
    <t>BD+33d2642_22</t>
  </si>
  <si>
    <t>BD+33d2642_20</t>
  </si>
  <si>
    <t>BD+33d2642_18</t>
  </si>
  <si>
    <t>BD+33d2642_16</t>
  </si>
  <si>
    <t>BD+33d2642_14</t>
  </si>
  <si>
    <t>BD+33d2642_12</t>
  </si>
  <si>
    <t>BD+33d2642_10</t>
  </si>
  <si>
    <t>BD+33d2642_8</t>
  </si>
  <si>
    <t>BD+33d2642_6</t>
  </si>
  <si>
    <t>BD+33d2642_90</t>
  </si>
  <si>
    <t>BD+33d2642_92</t>
  </si>
  <si>
    <t>BD+33d2642_94</t>
  </si>
  <si>
    <t>BD+33d2642_96</t>
  </si>
  <si>
    <t>BD+33d2642_98</t>
  </si>
  <si>
    <t>BD+33d2642_100</t>
  </si>
  <si>
    <t>BD+33d2642_102</t>
  </si>
  <si>
    <t>BD+33d2642_104</t>
  </si>
  <si>
    <t>BD+33d2642_106</t>
  </si>
  <si>
    <t>BD+33d2642_108</t>
  </si>
  <si>
    <t>BD+33d2642_110</t>
  </si>
  <si>
    <t>BD+33d2642_112</t>
  </si>
  <si>
    <t>BD+33d2642_114</t>
  </si>
  <si>
    <t>BD+33d2642_116</t>
  </si>
  <si>
    <t>BD+33d2642_118</t>
  </si>
  <si>
    <t>BD+33d2642_120</t>
  </si>
  <si>
    <t>BD+33d2642_122</t>
  </si>
  <si>
    <t>BD+33d2642_124</t>
  </si>
  <si>
    <t>BD+33d2642_126</t>
  </si>
  <si>
    <t>BD+33d2642_128</t>
  </si>
  <si>
    <t>BD+33d2642_130</t>
  </si>
  <si>
    <t>BD+33d2642_132</t>
  </si>
  <si>
    <t>BD+33d2642_134</t>
  </si>
  <si>
    <t>BD+33d2642_136</t>
  </si>
  <si>
    <t>BD+33d2642_138</t>
  </si>
  <si>
    <t>BD+33d2642_140</t>
  </si>
  <si>
    <t>BD+33d2642_142</t>
  </si>
  <si>
    <t>BD+33d2642_144</t>
  </si>
  <si>
    <t>BD+33d2642_146</t>
  </si>
  <si>
    <t>BD+33d2642_148</t>
  </si>
  <si>
    <t>BD+33d2642_150</t>
  </si>
  <si>
    <t>BD+33d2642_152</t>
  </si>
  <si>
    <t>BD+33d2642_154</t>
  </si>
  <si>
    <t>BD+33d2642_156</t>
  </si>
  <si>
    <t>BD+33d2642_158</t>
  </si>
  <si>
    <t>BD+33d2642_160</t>
  </si>
  <si>
    <t>BD+33d2642_162</t>
  </si>
  <si>
    <t>BD+33d2642_164</t>
  </si>
  <si>
    <t>BD+33d2642_166</t>
  </si>
  <si>
    <t>BD+33d2642_168</t>
  </si>
  <si>
    <t>BD+33d2642_170</t>
  </si>
  <si>
    <t>BD+33d2642_172</t>
  </si>
  <si>
    <t>BD+33d2642_174</t>
  </si>
  <si>
    <t>BD+33d2642_176</t>
  </si>
  <si>
    <t>BD+33d2642_178</t>
  </si>
  <si>
    <t>BD+33d2642_180</t>
  </si>
  <si>
    <t>BD+33d2642_182</t>
  </si>
  <si>
    <t>BD+33d2642_184</t>
  </si>
  <si>
    <t>BD+33d2642_268</t>
  </si>
  <si>
    <t>BD+33d2642_266</t>
  </si>
  <si>
    <t>BD+33d2642_264</t>
  </si>
  <si>
    <t>BD+33d2642_262</t>
  </si>
  <si>
    <t>BD+33d2642_260</t>
  </si>
  <si>
    <t>BD+33d2642_258</t>
  </si>
  <si>
    <t>BD+33d2642_256</t>
  </si>
  <si>
    <t>BD+33d2642_254</t>
  </si>
  <si>
    <t>BD+33d2642_252</t>
  </si>
  <si>
    <t>BD+33d2642_250</t>
  </si>
  <si>
    <t>BD+33d2642_248</t>
  </si>
  <si>
    <t>BD+33d2642_246</t>
  </si>
  <si>
    <t>BD+33d2642_244</t>
  </si>
  <si>
    <t>BD+33d2642_242</t>
  </si>
  <si>
    <t>BD+33d2642_240</t>
  </si>
  <si>
    <t>BD+33d2642_238</t>
  </si>
  <si>
    <t>BD+33d2642_236</t>
  </si>
  <si>
    <t>BD+33d2642_234</t>
  </si>
  <si>
    <t>BD+33d2642_232</t>
  </si>
  <si>
    <t>BD+33d2642_230</t>
  </si>
  <si>
    <t>BD+33d2642_228</t>
  </si>
  <si>
    <t>BD+33d2642_226</t>
  </si>
  <si>
    <t>BD+33d2642_224</t>
  </si>
  <si>
    <t>BD+33d2642_222</t>
  </si>
  <si>
    <t>BD+33d2642_220</t>
  </si>
  <si>
    <t>BD+33d2642_218</t>
  </si>
  <si>
    <t>BD+33d2642_216</t>
  </si>
  <si>
    <t>BD+33d2642_214</t>
  </si>
  <si>
    <t>BD+33d2642_212</t>
  </si>
  <si>
    <t>BD+33d2642_210</t>
  </si>
  <si>
    <t>BD+33d2642_208</t>
  </si>
  <si>
    <t>BD+33d2642_206</t>
  </si>
  <si>
    <t>BD+33d2642_204</t>
  </si>
  <si>
    <t>BD+33d2642_202</t>
  </si>
  <si>
    <t>BD+33d2642_200</t>
  </si>
  <si>
    <t>BD+33d2642_198</t>
  </si>
  <si>
    <t>BD+33d2642_196</t>
  </si>
  <si>
    <t>BD+33d2642_194</t>
  </si>
  <si>
    <t>BD+33d2642_192</t>
  </si>
  <si>
    <t>BD+33d2642_190</t>
  </si>
  <si>
    <t>BD+33d2642_188</t>
  </si>
  <si>
    <t>BD+33d2642_186</t>
  </si>
  <si>
    <t>BD+33d2642_270</t>
  </si>
  <si>
    <t>BD+33d2642_272</t>
  </si>
  <si>
    <t>BD+33d2642_274</t>
  </si>
  <si>
    <t>BD+33d2642_276</t>
  </si>
  <si>
    <t>BD+33d2642_278</t>
  </si>
  <si>
    <t>BD+33d2642_280</t>
  </si>
  <si>
    <t>BD+33d2642_282</t>
  </si>
  <si>
    <t>BD+33d2642_284</t>
  </si>
  <si>
    <t>BD+33d2642_286</t>
  </si>
  <si>
    <t>BD+33d2642_288</t>
  </si>
  <si>
    <t>BD+33d2642_290</t>
  </si>
  <si>
    <t>BD+33d2642_292</t>
  </si>
  <si>
    <t>BD+33d2642_294</t>
  </si>
  <si>
    <t>BD+33d2642_296</t>
  </si>
  <si>
    <t>BD+33d2642_298</t>
  </si>
  <si>
    <t>BD+33d2642_300</t>
  </si>
  <si>
    <t>BD+33d2642_302</t>
  </si>
  <si>
    <t>BD+33d2642_304</t>
  </si>
  <si>
    <t>BD+33d2642_306</t>
  </si>
  <si>
    <t>BD+33d2642_308</t>
  </si>
  <si>
    <t>BD+33d2642_310</t>
  </si>
  <si>
    <t>BD+33d2642_312</t>
  </si>
  <si>
    <t>BD+33d2642_314</t>
  </si>
  <si>
    <t>BD+33d2642_316</t>
  </si>
  <si>
    <t>BD+33d2642_318</t>
  </si>
  <si>
    <t>BD+33d2642_320</t>
  </si>
  <si>
    <t>BD+33d2642_322</t>
  </si>
  <si>
    <t>BD+33d2642_324</t>
  </si>
  <si>
    <t>BD+33d2642_326</t>
  </si>
  <si>
    <t>BD+33d2642_328</t>
  </si>
  <si>
    <t>BD+33d2642_330</t>
  </si>
  <si>
    <t>BD+33d2642_332</t>
  </si>
  <si>
    <t>BD+33d2642_334</t>
  </si>
  <si>
    <t>BD+33d2642_336</t>
  </si>
  <si>
    <t>BD+33d2642_338</t>
  </si>
  <si>
    <t>BD+33d2642_340</t>
  </si>
  <si>
    <t>BD+33d2642_342</t>
  </si>
  <si>
    <t>BD+33d2642_344</t>
  </si>
  <si>
    <t>BD+33d2642_346</t>
  </si>
  <si>
    <t>BD+33d2642_348</t>
  </si>
  <si>
    <t>BD+33d2642_350</t>
  </si>
  <si>
    <t>BD+33d2642_352</t>
  </si>
  <si>
    <t>BD+33d2642_354</t>
  </si>
  <si>
    <t>BD+33d2642_356</t>
  </si>
  <si>
    <t>BD+33d2642_358</t>
  </si>
  <si>
    <t>BD+33d2642_360</t>
  </si>
  <si>
    <t>BD+33d2642_362</t>
  </si>
  <si>
    <t>BD+33d2642_364</t>
  </si>
  <si>
    <t>BD+33d2642_448</t>
  </si>
  <si>
    <t>BD+33d2642_446</t>
  </si>
  <si>
    <t>BD+33d2642_444</t>
  </si>
  <si>
    <t>BD+33d2642_442</t>
  </si>
  <si>
    <t>BD+33d2642_440</t>
  </si>
  <si>
    <t>BD+33d2642_438</t>
  </si>
  <si>
    <t>BD+33d2642_436</t>
  </si>
  <si>
    <t>BD+33d2642_434</t>
  </si>
  <si>
    <t>BD+33d2642_432</t>
  </si>
  <si>
    <t>BD+33d2642_430</t>
  </si>
  <si>
    <t>BD+33d2642_428</t>
  </si>
  <si>
    <t>BD+33d2642_426</t>
  </si>
  <si>
    <t>BD+33d2642_424</t>
  </si>
  <si>
    <t>BD+33d2642_422</t>
  </si>
  <si>
    <t>BD+33d2642_420</t>
  </si>
  <si>
    <t>BD+33d2642_418</t>
  </si>
  <si>
    <t>BD+33d2642_416</t>
  </si>
  <si>
    <t>BD+33d2642_414</t>
  </si>
  <si>
    <t>BD+33d2642_412</t>
  </si>
  <si>
    <t>BD+33d2642_410</t>
  </si>
  <si>
    <t>BD+33d2642_408</t>
  </si>
  <si>
    <t>BD+33d2642_406</t>
  </si>
  <si>
    <t>BD+33d2642_404</t>
  </si>
  <si>
    <t>BD+33d2642_402</t>
  </si>
  <si>
    <t>BD+33d2642_400</t>
  </si>
  <si>
    <t>BD+33d2642_398</t>
  </si>
  <si>
    <t>BD+33d2642_396</t>
  </si>
  <si>
    <t>BD+33d2642_394</t>
  </si>
  <si>
    <t>BD+33d2642_392</t>
  </si>
  <si>
    <t>BD+33d2642_390</t>
  </si>
  <si>
    <t>BD+33d2642_388</t>
  </si>
  <si>
    <t>BD+33d2642_386</t>
  </si>
  <si>
    <t>BD+33d2642_384</t>
  </si>
  <si>
    <t>BD+33d2642_382</t>
  </si>
  <si>
    <t>BD+33d2642_380</t>
  </si>
  <si>
    <t>BD+33d2642_378</t>
  </si>
  <si>
    <t>BD+33d2642_376</t>
  </si>
  <si>
    <t>BD+33d2642_374</t>
  </si>
  <si>
    <t>BD+33d2642_372</t>
  </si>
  <si>
    <t>BD+33d2642_370</t>
  </si>
  <si>
    <t>BD+33d2642_368</t>
  </si>
  <si>
    <t>BD+33d2642_366</t>
  </si>
  <si>
    <t>BD+33d2642_450</t>
  </si>
  <si>
    <t>BD+33d2642_452</t>
  </si>
  <si>
    <t>BD+33d2642_454</t>
  </si>
  <si>
    <t>BD+33d2642_456</t>
  </si>
  <si>
    <t>BD+33d2642_458</t>
  </si>
  <si>
    <t>BD+33d2642_460</t>
  </si>
  <si>
    <t>BD+33d2642_462</t>
  </si>
  <si>
    <t>BD+33d2642_464</t>
  </si>
  <si>
    <t>BD+33d2642_466</t>
  </si>
  <si>
    <t>BD+33d2642_468</t>
  </si>
  <si>
    <t>BD+33d2642_470</t>
  </si>
  <si>
    <t>BD+33d2642_472</t>
  </si>
  <si>
    <t>BD+33d2642_474</t>
  </si>
  <si>
    <t>BD+33d2642_476</t>
  </si>
  <si>
    <t>BD+33d2642_478</t>
  </si>
  <si>
    <t>BD+33d2642_480</t>
  </si>
  <si>
    <t>BD+33d2642_482</t>
  </si>
  <si>
    <t>BD+33d2642_484</t>
  </si>
  <si>
    <t>BD+33d2642_486</t>
  </si>
  <si>
    <t>BD+33d2642_488</t>
  </si>
  <si>
    <t>BD+33d2642_490</t>
  </si>
  <si>
    <t>BD+33d2642_492</t>
  </si>
  <si>
    <t>BD+33d2642_494</t>
  </si>
  <si>
    <t>BD+33d2642_496</t>
  </si>
  <si>
    <t>BD+33d2642_498</t>
  </si>
  <si>
    <t>BD+33d2642_500</t>
  </si>
  <si>
    <t>BD+33d2642_502</t>
  </si>
  <si>
    <t>BD+33d2642_504</t>
  </si>
  <si>
    <t>BD+33d2642_506</t>
  </si>
  <si>
    <t>BD+33d2642_508</t>
  </si>
  <si>
    <t>BD+33d2642_510</t>
  </si>
  <si>
    <t>BD+33d2642_512</t>
  </si>
  <si>
    <t>BD+33d2642_514</t>
  </si>
  <si>
    <t>BD+33d2642_516</t>
  </si>
  <si>
    <t>BD+33d2642_518</t>
  </si>
  <si>
    <t>BD+33d2642_520</t>
  </si>
  <si>
    <t>BD+33d2642_522</t>
  </si>
  <si>
    <t>BD+33d2642_524</t>
  </si>
  <si>
    <t>BD+33d2642_526</t>
  </si>
  <si>
    <t>BD+33d2642_528</t>
  </si>
  <si>
    <t>BD+33d2642_530</t>
  </si>
  <si>
    <t>BD+33d2642_532</t>
  </si>
  <si>
    <t>BD+33d2642_534</t>
  </si>
  <si>
    <t>BD+33d2642_536</t>
  </si>
  <si>
    <t>BD+33d2642_538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</si>
</sst>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5" formatCode="00.000"/>
  </numFmts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8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2" borderId="1" xfId="0" applyFont="1" applyFill="1" applyBorder="1"/>
    <xf numFmtId="0" fontId="2" fillId="0" borderId="1" xfId="0" applyFont="1" applyBorder="1"/>
    <xf numFmtId="0" fontId="1" fillId="2" borderId="1" xfId="0" applyFont="1" applyFill="1" applyBorder="1" applyAlignment="1">
      <alignment horizontal="left"/>
    </xf>
    <xf numFmtId="164" fontId="1" fillId="2" borderId="1" xfId="0" applyNumberFormat="1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5" fillId="2" borderId="0" xfId="0" applyFont="1" applyFill="1"/>
    <xf numFmtId="0" fontId="5" fillId="0" borderId="1" xfId="0" applyFont="1" applyBorder="1"/>
    <xf numFmtId="0" fontId="5" fillId="0" borderId="0" xfId="0" applyFont="1"/>
    <xf numFmtId="0" fontId="4" fillId="2" borderId="0" xfId="0" applyFont="1" applyFill="1"/>
    <xf numFmtId="0" fontId="5" fillId="0" borderId="1" xfId="0" applyFont="1" applyBorder="1" applyAlignment="1">
      <alignment horizontal="left"/>
    </xf>
    <xf numFmtId="22" fontId="5" fillId="0" borderId="1" xfId="0" applyNumberFormat="1" applyFont="1" applyBorder="1" applyAlignment="1">
      <alignment horizontal="left"/>
    </xf>
    <xf numFmtId="0" fontId="5" fillId="0" borderId="0" xfId="0" applyFont="1" applyAlignment="1">
      <alignment horizontal="left"/>
    </xf>
    <xf numFmtId="2" fontId="5" fillId="0" borderId="1" xfId="0" applyNumberFormat="1" applyFont="1" applyBorder="1" applyAlignment="1">
      <alignment horizontal="left"/>
    </xf>
    <xf numFmtId="11" fontId="0" fillId="0" borderId="0" xfId="0" applyNumberForma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/>
    <xf numFmtId="0" fontId="2" fillId="5" borderId="1" xfId="0" applyFont="1" applyFill="1" applyBorder="1" applyAlignment="1">
      <alignment horizontal="left"/>
    </xf>
    <xf numFmtId="0" fontId="2" fillId="5" borderId="1" xfId="0" applyFont="1" applyFill="1" applyBorder="1"/>
    <xf numFmtId="0" fontId="5" fillId="4" borderId="1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164" fontId="5" fillId="4" borderId="1" xfId="0" applyNumberFormat="1" applyFont="1" applyFill="1" applyBorder="1" applyAlignment="1">
      <alignment horizontal="center"/>
    </xf>
    <xf numFmtId="165" fontId="5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left"/>
    </xf>
    <xf numFmtId="0" fontId="5" fillId="6" borderId="1" xfId="0" applyFont="1" applyFill="1" applyBorder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165" fontId="5" fillId="6" borderId="1" xfId="0" applyNumberFormat="1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left"/>
    </xf>
    <xf numFmtId="0" fontId="2" fillId="6" borderId="1" xfId="0" applyFont="1" applyFill="1" applyBorder="1"/>
    <xf numFmtId="165" fontId="2" fillId="6" borderId="1" xfId="0" applyNumberFormat="1" applyFont="1" applyFill="1" applyBorder="1" applyAlignment="1">
      <alignment horizontal="center"/>
    </xf>
    <xf numFmtId="164" fontId="2" fillId="6" borderId="1" xfId="0" applyNumberFormat="1" applyFont="1" applyFill="1" applyBorder="1" applyAlignment="1">
      <alignment horizontal="center"/>
    </xf>
    <xf numFmtId="0" fontId="5" fillId="3" borderId="1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center"/>
    </xf>
    <xf numFmtId="164" fontId="5" fillId="3" borderId="1" xfId="0" applyNumberFormat="1" applyFont="1" applyFill="1" applyBorder="1" applyAlignment="1">
      <alignment horizontal="center"/>
    </xf>
    <xf numFmtId="165" fontId="5" fillId="3" borderId="1" xfId="0" applyNumberFormat="1" applyFont="1" applyFill="1" applyBorder="1" applyAlignment="1">
      <alignment horizontal="center"/>
    </xf>
    <xf numFmtId="0" fontId="5" fillId="7" borderId="1" xfId="0" applyFont="1" applyFill="1" applyBorder="1" applyAlignment="1">
      <alignment horizontal="left"/>
    </xf>
    <xf numFmtId="0" fontId="5" fillId="7" borderId="1" xfId="0" applyFont="1" applyFill="1" applyBorder="1" applyAlignment="1">
      <alignment horizontal="center"/>
    </xf>
    <xf numFmtId="164" fontId="5" fillId="7" borderId="1" xfId="0" applyNumberFormat="1" applyFont="1" applyFill="1" applyBorder="1" applyAlignment="1">
      <alignment horizontal="center"/>
    </xf>
    <xf numFmtId="165" fontId="5" fillId="7" borderId="1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5" fontId="2" fillId="7" borderId="1" xfId="0" applyNumberFormat="1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left"/>
    </xf>
    <xf numFmtId="0" fontId="2" fillId="7" borderId="1" xfId="0" applyFont="1" applyFill="1" applyBorder="1"/>
    <xf numFmtId="0" fontId="5" fillId="5" borderId="1" xfId="0" applyFont="1" applyFill="1" applyBorder="1" applyAlignment="1">
      <alignment horizontal="left"/>
    </xf>
    <xf numFmtId="0" fontId="5" fillId="5" borderId="1" xfId="0" applyFont="1" applyFill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5" fontId="5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left"/>
    </xf>
    <xf numFmtId="0" fontId="5" fillId="8" borderId="1" xfId="0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center"/>
    </xf>
    <xf numFmtId="165" fontId="5" fillId="8" borderId="1" xfId="0" applyNumberFormat="1" applyFont="1" applyFill="1" applyBorder="1" applyAlignment="1">
      <alignment horizontal="center"/>
    </xf>
    <xf numFmtId="164" fontId="2" fillId="8" borderId="1" xfId="0" applyNumberFormat="1" applyFont="1" applyFill="1" applyBorder="1" applyAlignment="1">
      <alignment horizontal="center"/>
    </xf>
    <xf numFmtId="165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0" fontId="2" fillId="8" borderId="1" xfId="0" applyFont="1" applyFill="1" applyBorder="1" applyAlignment="1">
      <alignment horizontal="left"/>
    </xf>
    <xf numFmtId="0" fontId="2" fillId="8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sebastianescobar/Desktop/CubeSatMissionPlanner/Data%20Files/COM_SPRITE_CAL_TARGETS_1.xlsx" TargetMode="External"/><Relationship Id="rId1" Type="http://schemas.openxmlformats.org/officeDocument/2006/relationships/externalLinkPath" Target="COM_SPRITE_CAL_TARGETS_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lanPropagation_Info"/>
      <sheetName val="Targets_Info"/>
      <sheetName val="Survey_Info"/>
      <sheetName val="PowerBudget_Info"/>
      <sheetName val="DataBudget_Info"/>
      <sheetName val="GroundStations_Info"/>
      <sheetName val="SAA_Info"/>
      <sheetName val="Constraints_Info"/>
    </sheetNames>
    <sheetDataSet>
      <sheetData sheetId="0"/>
      <sheetData sheetId="1"/>
      <sheetData sheetId="2">
        <row r="1">
          <cell r="A1" t="str">
            <v>Survey</v>
          </cell>
          <cell r="D1" t="str">
            <v>ExpTime Per Pointing [s]</v>
          </cell>
          <cell r="G1" t="str">
            <v>Obs Mode</v>
          </cell>
          <cell r="J1" t="str">
            <v>Minimum ExpTime [s]</v>
          </cell>
        </row>
        <row r="2">
          <cell r="A2" t="str">
            <v>LyC Galaxies Survey</v>
          </cell>
          <cell r="D2">
            <v>100000</v>
          </cell>
          <cell r="G2" t="str">
            <v>ACCUM</v>
          </cell>
          <cell r="J2">
            <v>300</v>
          </cell>
        </row>
        <row r="3">
          <cell r="A3" t="str">
            <v>Nearby Galaxies Survey</v>
          </cell>
          <cell r="D3">
            <v>3000</v>
          </cell>
          <cell r="G3" t="str">
            <v>TTAG</v>
          </cell>
          <cell r="J3">
            <v>300</v>
          </cell>
        </row>
        <row r="4">
          <cell r="A4" t="str">
            <v>SPRITE Flux Standards</v>
          </cell>
          <cell r="D4">
            <v>1200</v>
          </cell>
          <cell r="G4" t="str">
            <v>ACCUM</v>
          </cell>
          <cell r="J4">
            <v>180</v>
          </cell>
        </row>
        <row r="5">
          <cell r="A5" t="str">
            <v>SPRITE Wavelength Standards</v>
          </cell>
          <cell r="D5">
            <v>1200</v>
          </cell>
          <cell r="G5" t="str">
            <v>ACCUM</v>
          </cell>
          <cell r="J5">
            <v>60</v>
          </cell>
        </row>
        <row r="6">
          <cell r="A6" t="str">
            <v>Supernova Remnants Survey</v>
          </cell>
          <cell r="D6">
            <v>3000</v>
          </cell>
          <cell r="G6" t="str">
            <v>TTAG</v>
          </cell>
          <cell r="J6">
            <v>300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FD72D-531F-4D70-B981-52C134C4A25F}">
  <dimension ref="A1:F2"/>
  <sheetViews>
    <sheetView workbookViewId="0">
      <pane ySplit="1" topLeftCell="A2" activePane="bottomLeft" state="frozen"/>
      <selection pane="bottomLeft" activeCell="E3" sqref="E3"/>
    </sheetView>
  </sheetViews>
  <sheetFormatPr baseColWidth="10" defaultColWidth="23.6640625" defaultRowHeight="19" x14ac:dyDescent="0.25"/>
  <cols>
    <col min="1" max="1" width="77.6640625" style="12" bestFit="1" customWidth="1"/>
    <col min="2" max="2" width="8.83203125" style="12" bestFit="1" customWidth="1"/>
    <col min="3" max="3" width="16" style="12" bestFit="1" customWidth="1"/>
    <col min="4" max="4" width="54.5" style="12" bestFit="1" customWidth="1"/>
    <col min="5" max="5" width="53.33203125" style="12" bestFit="1" customWidth="1"/>
    <col min="6" max="6" width="16" style="12" bestFit="1" customWidth="1"/>
    <col min="7" max="16384" width="23.6640625" style="12"/>
  </cols>
  <sheetData>
    <row r="1" spans="1:6" s="10" customFormat="1" x14ac:dyDescent="0.25">
      <c r="A1" s="9" t="s">
        <v>57</v>
      </c>
      <c r="B1" s="9" t="s">
        <v>58</v>
      </c>
      <c r="C1" s="9" t="s">
        <v>48</v>
      </c>
      <c r="D1" s="9" t="s">
        <v>60</v>
      </c>
      <c r="E1" s="9" t="s">
        <v>61</v>
      </c>
      <c r="F1" s="9" t="s">
        <v>50</v>
      </c>
    </row>
    <row r="2" spans="1:6" x14ac:dyDescent="0.25">
      <c r="A2" s="14" t="s">
        <v>46</v>
      </c>
      <c r="B2" s="14" t="s">
        <v>47</v>
      </c>
      <c r="C2" s="14" t="s">
        <v>49</v>
      </c>
      <c r="D2" s="15">
        <v>45809</v>
      </c>
      <c r="E2" s="15">
        <v>45810</v>
      </c>
      <c r="F2" s="14">
        <v>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EFC1F-C125-4C5A-8DE3-8CA1B354F394}">
  <dimension ref="A1:O271"/>
  <sheetViews>
    <sheetView zoomScale="65" zoomScaleNormal="85" workbookViewId="0">
      <pane ySplit="1" topLeftCell="A207" activePane="bottomLeft" state="frozen"/>
      <selection pane="bottomLeft" activeCell="M257" sqref="M257"/>
    </sheetView>
  </sheetViews>
  <sheetFormatPr baseColWidth="10" defaultColWidth="8.83203125" defaultRowHeight="19" x14ac:dyDescent="0.25"/>
  <cols>
    <col min="1" max="1" width="20" style="19" customWidth="1"/>
    <col min="2" max="2" width="10.33203125" style="20" customWidth="1"/>
    <col min="3" max="3" width="11" style="21" bestFit="1" customWidth="1"/>
    <col min="4" max="4" width="9.33203125" style="21" bestFit="1" customWidth="1"/>
    <col min="5" max="5" width="10.5" style="22" bestFit="1" customWidth="1"/>
    <col min="6" max="6" width="10.5" style="21" bestFit="1" customWidth="1"/>
    <col min="7" max="7" width="10.83203125" style="21" bestFit="1" customWidth="1"/>
    <col min="8" max="8" width="10.5" style="22" bestFit="1" customWidth="1"/>
    <col min="9" max="9" width="15.5" style="20" bestFit="1" customWidth="1"/>
    <col min="10" max="10" width="39.1640625" style="19" customWidth="1"/>
    <col min="11" max="11" width="13.6640625" style="19" bestFit="1" customWidth="1"/>
    <col min="12" max="12" width="16.83203125" bestFit="1" customWidth="1"/>
    <col min="13" max="13" width="21.33203125" style="1" bestFit="1" customWidth="1"/>
    <col min="14" max="14" width="21" style="1" bestFit="1" customWidth="1"/>
    <col min="15" max="15" width="24.1640625" style="1" bestFit="1" customWidth="1"/>
    <col min="16" max="16384" width="8.83203125" style="1"/>
  </cols>
  <sheetData>
    <row r="1" spans="1:15" s="2" customFormat="1" x14ac:dyDescent="0.25">
      <c r="A1" s="5" t="s">
        <v>3</v>
      </c>
      <c r="B1" s="8" t="s">
        <v>4</v>
      </c>
      <c r="C1" s="6" t="s">
        <v>16</v>
      </c>
      <c r="D1" s="6" t="s">
        <v>17</v>
      </c>
      <c r="E1" s="7" t="s">
        <v>18</v>
      </c>
      <c r="F1" s="6" t="s">
        <v>21</v>
      </c>
      <c r="G1" s="6" t="s">
        <v>19</v>
      </c>
      <c r="H1" s="7" t="s">
        <v>20</v>
      </c>
      <c r="I1" s="8" t="s">
        <v>27</v>
      </c>
      <c r="J1" s="5" t="s">
        <v>0</v>
      </c>
      <c r="K1" s="5" t="s">
        <v>32</v>
      </c>
      <c r="L1" s="3" t="s">
        <v>28</v>
      </c>
      <c r="M1" s="9" t="s">
        <v>29</v>
      </c>
      <c r="N1" s="3" t="s">
        <v>30</v>
      </c>
      <c r="O1" s="3" t="s">
        <v>31</v>
      </c>
    </row>
    <row r="2" spans="1:15" s="41" customFormat="1" x14ac:dyDescent="0.25">
      <c r="A2" s="35" t="s">
        <v>68</v>
      </c>
      <c r="B2" s="36" t="s">
        <v>22</v>
      </c>
      <c r="C2" s="37">
        <v>15</v>
      </c>
      <c r="D2" s="37">
        <v>51</v>
      </c>
      <c r="E2" s="38">
        <v>59.86</v>
      </c>
      <c r="F2" s="43">
        <v>32</v>
      </c>
      <c r="G2" s="43">
        <v>49</v>
      </c>
      <c r="H2" s="42">
        <f t="shared" ref="H2:H45" si="0">IF(H3-10&lt;0, 60-(10-H3), H3-10)</f>
        <v>34.799999999999997</v>
      </c>
      <c r="I2" s="39">
        <v>0</v>
      </c>
      <c r="J2" s="40" t="s">
        <v>10</v>
      </c>
      <c r="K2" s="40">
        <v>88</v>
      </c>
      <c r="L2" s="41" t="str">
        <f>LOOKUP(J2,[1]Survey_Info!A:A,[1]Survey_Info!G:G)</f>
        <v>ACCUM</v>
      </c>
      <c r="M2" s="41">
        <f>LOOKUP(J2,[1]Survey_Info!A:A,[1]Survey_Info!D:D)</f>
        <v>1200</v>
      </c>
      <c r="N2" s="41">
        <f>LOOKUP(J2,[1]Survey_Info!A:A, [1]Survey_Info!J:J)</f>
        <v>180</v>
      </c>
      <c r="O2" s="41">
        <v>0</v>
      </c>
    </row>
    <row r="3" spans="1:15" s="41" customFormat="1" x14ac:dyDescent="0.25">
      <c r="A3" s="35" t="s">
        <v>69</v>
      </c>
      <c r="B3" s="36" t="s">
        <v>22</v>
      </c>
      <c r="C3" s="37">
        <v>15</v>
      </c>
      <c r="D3" s="37">
        <v>51</v>
      </c>
      <c r="E3" s="38">
        <v>59.86</v>
      </c>
      <c r="F3" s="43">
        <v>32</v>
      </c>
      <c r="G3" s="43">
        <v>49</v>
      </c>
      <c r="H3" s="42">
        <f t="shared" si="0"/>
        <v>44.8</v>
      </c>
      <c r="I3" s="39">
        <v>0</v>
      </c>
      <c r="J3" s="40" t="s">
        <v>10</v>
      </c>
      <c r="K3" s="40">
        <v>86</v>
      </c>
      <c r="L3" s="41" t="str">
        <f>LOOKUP(J3,[1]Survey_Info!A:A,[1]Survey_Info!G:G)</f>
        <v>ACCUM</v>
      </c>
      <c r="M3" s="41">
        <f>LOOKUP(J3,[1]Survey_Info!A:A,[1]Survey_Info!D:D)</f>
        <v>1200</v>
      </c>
      <c r="N3" s="41">
        <f>LOOKUP(J3,[1]Survey_Info!A:A, [1]Survey_Info!J:J)</f>
        <v>180</v>
      </c>
      <c r="O3" s="41">
        <v>0</v>
      </c>
    </row>
    <row r="4" spans="1:15" s="41" customFormat="1" x14ac:dyDescent="0.25">
      <c r="A4" s="35" t="s">
        <v>70</v>
      </c>
      <c r="B4" s="36" t="s">
        <v>22</v>
      </c>
      <c r="C4" s="37">
        <v>15</v>
      </c>
      <c r="D4" s="37">
        <v>51</v>
      </c>
      <c r="E4" s="38">
        <v>59.86</v>
      </c>
      <c r="F4" s="43">
        <v>32</v>
      </c>
      <c r="G4" s="43">
        <v>49</v>
      </c>
      <c r="H4" s="42">
        <f t="shared" si="0"/>
        <v>54.8</v>
      </c>
      <c r="I4" s="39">
        <v>0</v>
      </c>
      <c r="J4" s="40" t="s">
        <v>10</v>
      </c>
      <c r="K4" s="40">
        <v>84</v>
      </c>
      <c r="L4" s="41" t="str">
        <f>LOOKUP(J4,[1]Survey_Info!A:A,[1]Survey_Info!G:G)</f>
        <v>ACCUM</v>
      </c>
      <c r="M4" s="41">
        <f>LOOKUP(J4,[1]Survey_Info!A:A,[1]Survey_Info!D:D)</f>
        <v>1200</v>
      </c>
      <c r="N4" s="41">
        <f>LOOKUP(J4,[1]Survey_Info!A:A, [1]Survey_Info!J:J)</f>
        <v>180</v>
      </c>
      <c r="O4" s="41">
        <v>0</v>
      </c>
    </row>
    <row r="5" spans="1:15" s="41" customFormat="1" x14ac:dyDescent="0.25">
      <c r="A5" s="35" t="s">
        <v>71</v>
      </c>
      <c r="B5" s="36" t="s">
        <v>22</v>
      </c>
      <c r="C5" s="37">
        <v>15</v>
      </c>
      <c r="D5" s="37">
        <v>51</v>
      </c>
      <c r="E5" s="38">
        <v>59.86</v>
      </c>
      <c r="F5" s="43">
        <v>32</v>
      </c>
      <c r="G5" s="43">
        <v>50</v>
      </c>
      <c r="H5" s="42">
        <f t="shared" si="0"/>
        <v>4.7999999999999972</v>
      </c>
      <c r="I5" s="39">
        <v>0</v>
      </c>
      <c r="J5" s="40" t="s">
        <v>10</v>
      </c>
      <c r="K5" s="40">
        <v>82</v>
      </c>
      <c r="L5" s="41" t="str">
        <f>LOOKUP(J5,[1]Survey_Info!A:A,[1]Survey_Info!G:G)</f>
        <v>ACCUM</v>
      </c>
      <c r="M5" s="41">
        <f>LOOKUP(J5,[1]Survey_Info!A:A,[1]Survey_Info!D:D)</f>
        <v>1200</v>
      </c>
      <c r="N5" s="41">
        <f>LOOKUP(J5,[1]Survey_Info!A:A, [1]Survey_Info!J:J)</f>
        <v>180</v>
      </c>
      <c r="O5" s="41">
        <v>0</v>
      </c>
    </row>
    <row r="6" spans="1:15" s="41" customFormat="1" x14ac:dyDescent="0.25">
      <c r="A6" s="35" t="s">
        <v>72</v>
      </c>
      <c r="B6" s="36" t="s">
        <v>22</v>
      </c>
      <c r="C6" s="37">
        <v>15</v>
      </c>
      <c r="D6" s="37">
        <v>51</v>
      </c>
      <c r="E6" s="38">
        <v>59.86</v>
      </c>
      <c r="F6" s="43">
        <v>32</v>
      </c>
      <c r="G6" s="43">
        <v>50</v>
      </c>
      <c r="H6" s="42">
        <f t="shared" si="0"/>
        <v>14.799999999999997</v>
      </c>
      <c r="I6" s="39">
        <v>0</v>
      </c>
      <c r="J6" s="40" t="s">
        <v>10</v>
      </c>
      <c r="K6" s="40">
        <v>80</v>
      </c>
      <c r="L6" s="41" t="str">
        <f>LOOKUP(J6,[1]Survey_Info!A:A,[1]Survey_Info!G:G)</f>
        <v>ACCUM</v>
      </c>
      <c r="M6" s="41">
        <f>LOOKUP(J6,[1]Survey_Info!A:A,[1]Survey_Info!D:D)</f>
        <v>1200</v>
      </c>
      <c r="N6" s="41">
        <f>LOOKUP(J6,[1]Survey_Info!A:A, [1]Survey_Info!J:J)</f>
        <v>180</v>
      </c>
      <c r="O6" s="41">
        <v>0</v>
      </c>
    </row>
    <row r="7" spans="1:15" s="41" customFormat="1" x14ac:dyDescent="0.25">
      <c r="A7" s="35" t="s">
        <v>73</v>
      </c>
      <c r="B7" s="36" t="s">
        <v>22</v>
      </c>
      <c r="C7" s="37">
        <v>15</v>
      </c>
      <c r="D7" s="37">
        <v>51</v>
      </c>
      <c r="E7" s="38">
        <v>59.86</v>
      </c>
      <c r="F7" s="43">
        <v>32</v>
      </c>
      <c r="G7" s="43">
        <v>50</v>
      </c>
      <c r="H7" s="42">
        <f t="shared" si="0"/>
        <v>24.799999999999997</v>
      </c>
      <c r="I7" s="39">
        <v>0</v>
      </c>
      <c r="J7" s="40" t="s">
        <v>10</v>
      </c>
      <c r="K7" s="40">
        <v>78</v>
      </c>
      <c r="L7" s="41" t="str">
        <f>LOOKUP(J7,[1]Survey_Info!A:A,[1]Survey_Info!G:G)</f>
        <v>ACCUM</v>
      </c>
      <c r="M7" s="41">
        <f>LOOKUP(J7,[1]Survey_Info!A:A,[1]Survey_Info!D:D)</f>
        <v>1200</v>
      </c>
      <c r="N7" s="41">
        <f>LOOKUP(J7,[1]Survey_Info!A:A, [1]Survey_Info!J:J)</f>
        <v>180</v>
      </c>
      <c r="O7" s="41">
        <v>0</v>
      </c>
    </row>
    <row r="8" spans="1:15" s="41" customFormat="1" x14ac:dyDescent="0.25">
      <c r="A8" s="35" t="s">
        <v>74</v>
      </c>
      <c r="B8" s="36" t="s">
        <v>22</v>
      </c>
      <c r="C8" s="37">
        <v>15</v>
      </c>
      <c r="D8" s="37">
        <v>51</v>
      </c>
      <c r="E8" s="38">
        <v>59.86</v>
      </c>
      <c r="F8" s="43">
        <v>32</v>
      </c>
      <c r="G8" s="43">
        <v>50</v>
      </c>
      <c r="H8" s="42">
        <f t="shared" si="0"/>
        <v>34.799999999999997</v>
      </c>
      <c r="I8" s="39">
        <v>0</v>
      </c>
      <c r="J8" s="40" t="s">
        <v>10</v>
      </c>
      <c r="K8" s="40">
        <v>76</v>
      </c>
      <c r="L8" s="41" t="str">
        <f>LOOKUP(J8,[1]Survey_Info!A:A,[1]Survey_Info!G:G)</f>
        <v>ACCUM</v>
      </c>
      <c r="M8" s="41">
        <f>LOOKUP(J8,[1]Survey_Info!A:A,[1]Survey_Info!D:D)</f>
        <v>1200</v>
      </c>
      <c r="N8" s="41">
        <f>LOOKUP(J8,[1]Survey_Info!A:A, [1]Survey_Info!J:J)</f>
        <v>180</v>
      </c>
      <c r="O8" s="41">
        <v>0</v>
      </c>
    </row>
    <row r="9" spans="1:15" s="41" customFormat="1" x14ac:dyDescent="0.25">
      <c r="A9" s="35" t="s">
        <v>75</v>
      </c>
      <c r="B9" s="36" t="s">
        <v>22</v>
      </c>
      <c r="C9" s="37">
        <v>15</v>
      </c>
      <c r="D9" s="37">
        <v>51</v>
      </c>
      <c r="E9" s="38">
        <v>59.86</v>
      </c>
      <c r="F9" s="43">
        <v>32</v>
      </c>
      <c r="G9" s="43">
        <v>50</v>
      </c>
      <c r="H9" s="42">
        <f t="shared" si="0"/>
        <v>44.8</v>
      </c>
      <c r="I9" s="39">
        <v>0</v>
      </c>
      <c r="J9" s="40" t="s">
        <v>10</v>
      </c>
      <c r="K9" s="40">
        <v>74</v>
      </c>
      <c r="L9" s="41" t="str">
        <f>LOOKUP(J9,[1]Survey_Info!A:A,[1]Survey_Info!G:G)</f>
        <v>ACCUM</v>
      </c>
      <c r="M9" s="41">
        <f>LOOKUP(J9,[1]Survey_Info!A:A,[1]Survey_Info!D:D)</f>
        <v>1200</v>
      </c>
      <c r="N9" s="41">
        <f>LOOKUP(J9,[1]Survey_Info!A:A, [1]Survey_Info!J:J)</f>
        <v>180</v>
      </c>
      <c r="O9" s="41">
        <v>0</v>
      </c>
    </row>
    <row r="10" spans="1:15" s="41" customFormat="1" x14ac:dyDescent="0.25">
      <c r="A10" s="35" t="s">
        <v>76</v>
      </c>
      <c r="B10" s="36" t="s">
        <v>22</v>
      </c>
      <c r="C10" s="37">
        <v>15</v>
      </c>
      <c r="D10" s="37">
        <v>51</v>
      </c>
      <c r="E10" s="38">
        <v>59.86</v>
      </c>
      <c r="F10" s="43">
        <v>32</v>
      </c>
      <c r="G10" s="43">
        <v>50</v>
      </c>
      <c r="H10" s="42">
        <f t="shared" si="0"/>
        <v>54.8</v>
      </c>
      <c r="I10" s="39">
        <v>0</v>
      </c>
      <c r="J10" s="40" t="s">
        <v>10</v>
      </c>
      <c r="K10" s="40">
        <v>72</v>
      </c>
      <c r="L10" s="41" t="str">
        <f>LOOKUP(J10,[1]Survey_Info!A:A,[1]Survey_Info!G:G)</f>
        <v>ACCUM</v>
      </c>
      <c r="M10" s="41">
        <f>LOOKUP(J10,[1]Survey_Info!A:A,[1]Survey_Info!D:D)</f>
        <v>1200</v>
      </c>
      <c r="N10" s="41">
        <f>LOOKUP(J10,[1]Survey_Info!A:A, [1]Survey_Info!J:J)</f>
        <v>180</v>
      </c>
      <c r="O10" s="41">
        <v>0</v>
      </c>
    </row>
    <row r="11" spans="1:15" s="41" customFormat="1" x14ac:dyDescent="0.25">
      <c r="A11" s="35" t="s">
        <v>77</v>
      </c>
      <c r="B11" s="36" t="s">
        <v>22</v>
      </c>
      <c r="C11" s="37">
        <v>15</v>
      </c>
      <c r="D11" s="37">
        <v>51</v>
      </c>
      <c r="E11" s="38">
        <v>59.86</v>
      </c>
      <c r="F11" s="43">
        <v>32</v>
      </c>
      <c r="G11" s="43">
        <v>51</v>
      </c>
      <c r="H11" s="42">
        <f t="shared" si="0"/>
        <v>4.7999999999999972</v>
      </c>
      <c r="I11" s="39">
        <v>0</v>
      </c>
      <c r="J11" s="40" t="s">
        <v>10</v>
      </c>
      <c r="K11" s="40">
        <v>70</v>
      </c>
      <c r="L11" s="41" t="str">
        <f>LOOKUP(J11,[1]Survey_Info!A:A,[1]Survey_Info!G:G)</f>
        <v>ACCUM</v>
      </c>
      <c r="M11" s="41">
        <f>LOOKUP(J11,[1]Survey_Info!A:A,[1]Survey_Info!D:D)</f>
        <v>1200</v>
      </c>
      <c r="N11" s="41">
        <f>LOOKUP(J11,[1]Survey_Info!A:A, [1]Survey_Info!J:J)</f>
        <v>180</v>
      </c>
      <c r="O11" s="41">
        <v>0</v>
      </c>
    </row>
    <row r="12" spans="1:15" s="41" customFormat="1" x14ac:dyDescent="0.25">
      <c r="A12" s="35" t="s">
        <v>78</v>
      </c>
      <c r="B12" s="36" t="s">
        <v>22</v>
      </c>
      <c r="C12" s="37">
        <v>15</v>
      </c>
      <c r="D12" s="37">
        <v>51</v>
      </c>
      <c r="E12" s="38">
        <v>59.86</v>
      </c>
      <c r="F12" s="43">
        <v>32</v>
      </c>
      <c r="G12" s="43">
        <v>51</v>
      </c>
      <c r="H12" s="42">
        <f t="shared" si="0"/>
        <v>14.799999999999997</v>
      </c>
      <c r="I12" s="39">
        <v>0</v>
      </c>
      <c r="J12" s="40" t="s">
        <v>10</v>
      </c>
      <c r="K12" s="40">
        <v>68</v>
      </c>
      <c r="L12" s="41" t="str">
        <f>LOOKUP(J12,[1]Survey_Info!A:A,[1]Survey_Info!G:G)</f>
        <v>ACCUM</v>
      </c>
      <c r="M12" s="41">
        <f>LOOKUP(J12,[1]Survey_Info!A:A,[1]Survey_Info!D:D)</f>
        <v>1200</v>
      </c>
      <c r="N12" s="41">
        <f>LOOKUP(J12,[1]Survey_Info!A:A, [1]Survey_Info!J:J)</f>
        <v>180</v>
      </c>
      <c r="O12" s="41">
        <v>0</v>
      </c>
    </row>
    <row r="13" spans="1:15" s="41" customFormat="1" x14ac:dyDescent="0.25">
      <c r="A13" s="35" t="s">
        <v>79</v>
      </c>
      <c r="B13" s="36" t="s">
        <v>22</v>
      </c>
      <c r="C13" s="37">
        <v>15</v>
      </c>
      <c r="D13" s="37">
        <v>51</v>
      </c>
      <c r="E13" s="38">
        <v>59.86</v>
      </c>
      <c r="F13" s="43">
        <v>32</v>
      </c>
      <c r="G13" s="43">
        <v>51</v>
      </c>
      <c r="H13" s="42">
        <f t="shared" si="0"/>
        <v>24.799999999999997</v>
      </c>
      <c r="I13" s="39">
        <v>0</v>
      </c>
      <c r="J13" s="40" t="s">
        <v>10</v>
      </c>
      <c r="K13" s="40">
        <v>66</v>
      </c>
      <c r="L13" s="41" t="str">
        <f>LOOKUP(J13,[1]Survey_Info!A:A,[1]Survey_Info!G:G)</f>
        <v>ACCUM</v>
      </c>
      <c r="M13" s="41">
        <f>LOOKUP(J13,[1]Survey_Info!A:A,[1]Survey_Info!D:D)</f>
        <v>1200</v>
      </c>
      <c r="N13" s="41">
        <f>LOOKUP(J13,[1]Survey_Info!A:A, [1]Survey_Info!J:J)</f>
        <v>180</v>
      </c>
      <c r="O13" s="41">
        <v>0</v>
      </c>
    </row>
    <row r="14" spans="1:15" s="41" customFormat="1" x14ac:dyDescent="0.25">
      <c r="A14" s="35" t="s">
        <v>80</v>
      </c>
      <c r="B14" s="36" t="s">
        <v>22</v>
      </c>
      <c r="C14" s="37">
        <v>15</v>
      </c>
      <c r="D14" s="37">
        <v>51</v>
      </c>
      <c r="E14" s="38">
        <v>59.86</v>
      </c>
      <c r="F14" s="43">
        <v>32</v>
      </c>
      <c r="G14" s="43">
        <v>51</v>
      </c>
      <c r="H14" s="42">
        <f t="shared" si="0"/>
        <v>34.799999999999997</v>
      </c>
      <c r="I14" s="39">
        <v>0</v>
      </c>
      <c r="J14" s="40" t="s">
        <v>10</v>
      </c>
      <c r="K14" s="40">
        <v>64</v>
      </c>
      <c r="L14" s="41" t="str">
        <f>LOOKUP(J14,[1]Survey_Info!A:A,[1]Survey_Info!G:G)</f>
        <v>ACCUM</v>
      </c>
      <c r="M14" s="41">
        <f>LOOKUP(J14,[1]Survey_Info!A:A,[1]Survey_Info!D:D)</f>
        <v>1200</v>
      </c>
      <c r="N14" s="41">
        <f>LOOKUP(J14,[1]Survey_Info!A:A, [1]Survey_Info!J:J)</f>
        <v>180</v>
      </c>
      <c r="O14" s="41">
        <v>0</v>
      </c>
    </row>
    <row r="15" spans="1:15" s="41" customFormat="1" x14ac:dyDescent="0.25">
      <c r="A15" s="35" t="s">
        <v>81</v>
      </c>
      <c r="B15" s="36" t="s">
        <v>22</v>
      </c>
      <c r="C15" s="37">
        <v>15</v>
      </c>
      <c r="D15" s="37">
        <v>51</v>
      </c>
      <c r="E15" s="38">
        <v>59.86</v>
      </c>
      <c r="F15" s="43">
        <v>32</v>
      </c>
      <c r="G15" s="43">
        <v>51</v>
      </c>
      <c r="H15" s="42">
        <f t="shared" si="0"/>
        <v>44.8</v>
      </c>
      <c r="I15" s="39">
        <v>0</v>
      </c>
      <c r="J15" s="40" t="s">
        <v>10</v>
      </c>
      <c r="K15" s="40">
        <v>62</v>
      </c>
      <c r="L15" s="41" t="str">
        <f>LOOKUP(J15,[1]Survey_Info!A:A,[1]Survey_Info!G:G)</f>
        <v>ACCUM</v>
      </c>
      <c r="M15" s="41">
        <f>LOOKUP(J15,[1]Survey_Info!A:A,[1]Survey_Info!D:D)</f>
        <v>1200</v>
      </c>
      <c r="N15" s="41">
        <f>LOOKUP(J15,[1]Survey_Info!A:A, [1]Survey_Info!J:J)</f>
        <v>180</v>
      </c>
      <c r="O15" s="41">
        <v>0</v>
      </c>
    </row>
    <row r="16" spans="1:15" s="41" customFormat="1" x14ac:dyDescent="0.25">
      <c r="A16" s="35" t="s">
        <v>82</v>
      </c>
      <c r="B16" s="36" t="s">
        <v>22</v>
      </c>
      <c r="C16" s="37">
        <v>15</v>
      </c>
      <c r="D16" s="37">
        <v>51</v>
      </c>
      <c r="E16" s="38">
        <v>59.86</v>
      </c>
      <c r="F16" s="43">
        <v>32</v>
      </c>
      <c r="G16" s="43">
        <v>51</v>
      </c>
      <c r="H16" s="42">
        <f t="shared" si="0"/>
        <v>54.8</v>
      </c>
      <c r="I16" s="39">
        <v>0</v>
      </c>
      <c r="J16" s="40" t="s">
        <v>10</v>
      </c>
      <c r="K16" s="40">
        <v>60</v>
      </c>
      <c r="L16" s="41" t="str">
        <f>LOOKUP(J16,[1]Survey_Info!A:A,[1]Survey_Info!G:G)</f>
        <v>ACCUM</v>
      </c>
      <c r="M16" s="41">
        <f>LOOKUP(J16,[1]Survey_Info!A:A,[1]Survey_Info!D:D)</f>
        <v>1200</v>
      </c>
      <c r="N16" s="41">
        <f>LOOKUP(J16,[1]Survey_Info!A:A, [1]Survey_Info!J:J)</f>
        <v>180</v>
      </c>
      <c r="O16" s="41">
        <v>0</v>
      </c>
    </row>
    <row r="17" spans="1:15" s="41" customFormat="1" x14ac:dyDescent="0.25">
      <c r="A17" s="35" t="s">
        <v>83</v>
      </c>
      <c r="B17" s="36" t="s">
        <v>22</v>
      </c>
      <c r="C17" s="37">
        <v>15</v>
      </c>
      <c r="D17" s="37">
        <v>51</v>
      </c>
      <c r="E17" s="38">
        <v>59.86</v>
      </c>
      <c r="F17" s="43">
        <v>32</v>
      </c>
      <c r="G17" s="43">
        <v>52</v>
      </c>
      <c r="H17" s="42">
        <f t="shared" si="0"/>
        <v>4.7999999999999972</v>
      </c>
      <c r="I17" s="39">
        <v>0</v>
      </c>
      <c r="J17" s="40" t="s">
        <v>10</v>
      </c>
      <c r="K17" s="40">
        <v>58</v>
      </c>
      <c r="L17" s="41" t="str">
        <f>LOOKUP(J17,[1]Survey_Info!A:A,[1]Survey_Info!G:G)</f>
        <v>ACCUM</v>
      </c>
      <c r="M17" s="41">
        <f>LOOKUP(J17,[1]Survey_Info!A:A,[1]Survey_Info!D:D)</f>
        <v>1200</v>
      </c>
      <c r="N17" s="41">
        <f>LOOKUP(J17,[1]Survey_Info!A:A, [1]Survey_Info!J:J)</f>
        <v>180</v>
      </c>
      <c r="O17" s="41">
        <v>0</v>
      </c>
    </row>
    <row r="18" spans="1:15" s="41" customFormat="1" x14ac:dyDescent="0.25">
      <c r="A18" s="35" t="s">
        <v>84</v>
      </c>
      <c r="B18" s="36" t="s">
        <v>22</v>
      </c>
      <c r="C18" s="37">
        <v>15</v>
      </c>
      <c r="D18" s="37">
        <v>51</v>
      </c>
      <c r="E18" s="38">
        <v>59.86</v>
      </c>
      <c r="F18" s="43">
        <v>32</v>
      </c>
      <c r="G18" s="43">
        <v>52</v>
      </c>
      <c r="H18" s="42">
        <f t="shared" si="0"/>
        <v>14.799999999999997</v>
      </c>
      <c r="I18" s="39">
        <v>0</v>
      </c>
      <c r="J18" s="40" t="s">
        <v>10</v>
      </c>
      <c r="K18" s="40">
        <v>56</v>
      </c>
      <c r="L18" s="41" t="str">
        <f>LOOKUP(J18,[1]Survey_Info!A:A,[1]Survey_Info!G:G)</f>
        <v>ACCUM</v>
      </c>
      <c r="M18" s="41">
        <f>LOOKUP(J18,[1]Survey_Info!A:A,[1]Survey_Info!D:D)</f>
        <v>1200</v>
      </c>
      <c r="N18" s="41">
        <f>LOOKUP(J18,[1]Survey_Info!A:A, [1]Survey_Info!J:J)</f>
        <v>180</v>
      </c>
      <c r="O18" s="41">
        <v>0</v>
      </c>
    </row>
    <row r="19" spans="1:15" s="41" customFormat="1" x14ac:dyDescent="0.25">
      <c r="A19" s="35" t="s">
        <v>85</v>
      </c>
      <c r="B19" s="36" t="s">
        <v>22</v>
      </c>
      <c r="C19" s="37">
        <v>15</v>
      </c>
      <c r="D19" s="37">
        <v>51</v>
      </c>
      <c r="E19" s="38">
        <v>59.86</v>
      </c>
      <c r="F19" s="43">
        <v>32</v>
      </c>
      <c r="G19" s="43">
        <v>52</v>
      </c>
      <c r="H19" s="42">
        <f t="shared" si="0"/>
        <v>24.799999999999997</v>
      </c>
      <c r="I19" s="39">
        <v>0</v>
      </c>
      <c r="J19" s="40" t="s">
        <v>10</v>
      </c>
      <c r="K19" s="40">
        <v>54</v>
      </c>
      <c r="L19" s="41" t="str">
        <f>LOOKUP(J19,[1]Survey_Info!A:A,[1]Survey_Info!G:G)</f>
        <v>ACCUM</v>
      </c>
      <c r="M19" s="41">
        <f>LOOKUP(J19,[1]Survey_Info!A:A,[1]Survey_Info!D:D)</f>
        <v>1200</v>
      </c>
      <c r="N19" s="41">
        <f>LOOKUP(J19,[1]Survey_Info!A:A, [1]Survey_Info!J:J)</f>
        <v>180</v>
      </c>
      <c r="O19" s="41">
        <v>0</v>
      </c>
    </row>
    <row r="20" spans="1:15" s="41" customFormat="1" x14ac:dyDescent="0.25">
      <c r="A20" s="35" t="s">
        <v>86</v>
      </c>
      <c r="B20" s="36" t="s">
        <v>22</v>
      </c>
      <c r="C20" s="37">
        <v>15</v>
      </c>
      <c r="D20" s="37">
        <v>51</v>
      </c>
      <c r="E20" s="38">
        <v>59.86</v>
      </c>
      <c r="F20" s="43">
        <v>32</v>
      </c>
      <c r="G20" s="43">
        <v>52</v>
      </c>
      <c r="H20" s="42">
        <f t="shared" si="0"/>
        <v>34.799999999999997</v>
      </c>
      <c r="I20" s="39">
        <v>0</v>
      </c>
      <c r="J20" s="40" t="s">
        <v>10</v>
      </c>
      <c r="K20" s="40">
        <v>52</v>
      </c>
      <c r="L20" s="41" t="str">
        <f>LOOKUP(J20,[1]Survey_Info!A:A,[1]Survey_Info!G:G)</f>
        <v>ACCUM</v>
      </c>
      <c r="M20" s="41">
        <f>LOOKUP(J20,[1]Survey_Info!A:A,[1]Survey_Info!D:D)</f>
        <v>1200</v>
      </c>
      <c r="N20" s="41">
        <f>LOOKUP(J20,[1]Survey_Info!A:A, [1]Survey_Info!J:J)</f>
        <v>180</v>
      </c>
      <c r="O20" s="41">
        <v>0</v>
      </c>
    </row>
    <row r="21" spans="1:15" s="41" customFormat="1" x14ac:dyDescent="0.25">
      <c r="A21" s="35" t="s">
        <v>87</v>
      </c>
      <c r="B21" s="36" t="s">
        <v>22</v>
      </c>
      <c r="C21" s="37">
        <v>15</v>
      </c>
      <c r="D21" s="37">
        <v>51</v>
      </c>
      <c r="E21" s="38">
        <v>59.86</v>
      </c>
      <c r="F21" s="43">
        <v>32</v>
      </c>
      <c r="G21" s="43">
        <v>52</v>
      </c>
      <c r="H21" s="42">
        <f t="shared" si="0"/>
        <v>44.8</v>
      </c>
      <c r="I21" s="39">
        <v>0</v>
      </c>
      <c r="J21" s="40" t="s">
        <v>10</v>
      </c>
      <c r="K21" s="40">
        <v>50</v>
      </c>
      <c r="L21" s="41" t="str">
        <f>LOOKUP(J21,[1]Survey_Info!A:A,[1]Survey_Info!G:G)</f>
        <v>ACCUM</v>
      </c>
      <c r="M21" s="41">
        <f>LOOKUP(J21,[1]Survey_Info!A:A,[1]Survey_Info!D:D)</f>
        <v>1200</v>
      </c>
      <c r="N21" s="41">
        <f>LOOKUP(J21,[1]Survey_Info!A:A, [1]Survey_Info!J:J)</f>
        <v>180</v>
      </c>
      <c r="O21" s="41">
        <v>0</v>
      </c>
    </row>
    <row r="22" spans="1:15" s="41" customFormat="1" x14ac:dyDescent="0.25">
      <c r="A22" s="35" t="s">
        <v>88</v>
      </c>
      <c r="B22" s="36" t="s">
        <v>22</v>
      </c>
      <c r="C22" s="37">
        <v>15</v>
      </c>
      <c r="D22" s="37">
        <v>51</v>
      </c>
      <c r="E22" s="38">
        <v>59.86</v>
      </c>
      <c r="F22" s="43">
        <v>32</v>
      </c>
      <c r="G22" s="43">
        <v>52</v>
      </c>
      <c r="H22" s="42">
        <f t="shared" si="0"/>
        <v>54.8</v>
      </c>
      <c r="I22" s="39">
        <v>0</v>
      </c>
      <c r="J22" s="40" t="s">
        <v>10</v>
      </c>
      <c r="K22" s="40">
        <v>48</v>
      </c>
      <c r="L22" s="41" t="str">
        <f>LOOKUP(J22,[1]Survey_Info!A:A,[1]Survey_Info!G:G)</f>
        <v>ACCUM</v>
      </c>
      <c r="M22" s="41">
        <f>LOOKUP(J22,[1]Survey_Info!A:A,[1]Survey_Info!D:D)</f>
        <v>1200</v>
      </c>
      <c r="N22" s="41">
        <f>LOOKUP(J22,[1]Survey_Info!A:A, [1]Survey_Info!J:J)</f>
        <v>180</v>
      </c>
      <c r="O22" s="41">
        <v>0</v>
      </c>
    </row>
    <row r="23" spans="1:15" s="41" customFormat="1" x14ac:dyDescent="0.25">
      <c r="A23" s="35" t="s">
        <v>89</v>
      </c>
      <c r="B23" s="36" t="s">
        <v>22</v>
      </c>
      <c r="C23" s="37">
        <v>15</v>
      </c>
      <c r="D23" s="37">
        <v>51</v>
      </c>
      <c r="E23" s="38">
        <v>59.86</v>
      </c>
      <c r="F23" s="43">
        <v>32</v>
      </c>
      <c r="G23" s="43">
        <v>53</v>
      </c>
      <c r="H23" s="42">
        <f t="shared" si="0"/>
        <v>4.7999999999999972</v>
      </c>
      <c r="I23" s="39">
        <v>0</v>
      </c>
      <c r="J23" s="40" t="s">
        <v>10</v>
      </c>
      <c r="K23" s="40">
        <v>46</v>
      </c>
      <c r="L23" s="41" t="str">
        <f>LOOKUP(J23,[1]Survey_Info!A:A,[1]Survey_Info!G:G)</f>
        <v>ACCUM</v>
      </c>
      <c r="M23" s="41">
        <f>LOOKUP(J23,[1]Survey_Info!A:A,[1]Survey_Info!D:D)</f>
        <v>1200</v>
      </c>
      <c r="N23" s="41">
        <f>LOOKUP(J23,[1]Survey_Info!A:A, [1]Survey_Info!J:J)</f>
        <v>180</v>
      </c>
      <c r="O23" s="41">
        <v>0</v>
      </c>
    </row>
    <row r="24" spans="1:15" s="41" customFormat="1" x14ac:dyDescent="0.25">
      <c r="A24" s="35" t="s">
        <v>90</v>
      </c>
      <c r="B24" s="36" t="s">
        <v>22</v>
      </c>
      <c r="C24" s="37">
        <v>15</v>
      </c>
      <c r="D24" s="37">
        <v>51</v>
      </c>
      <c r="E24" s="38">
        <v>59.86</v>
      </c>
      <c r="F24" s="43">
        <v>32</v>
      </c>
      <c r="G24" s="43">
        <v>53</v>
      </c>
      <c r="H24" s="42">
        <f t="shared" si="0"/>
        <v>14.799999999999997</v>
      </c>
      <c r="I24" s="39">
        <v>0</v>
      </c>
      <c r="J24" s="40" t="s">
        <v>10</v>
      </c>
      <c r="K24" s="40">
        <v>44</v>
      </c>
      <c r="L24" s="41" t="str">
        <f>LOOKUP(J24,[1]Survey_Info!A:A,[1]Survey_Info!G:G)</f>
        <v>ACCUM</v>
      </c>
      <c r="M24" s="41">
        <f>LOOKUP(J24,[1]Survey_Info!A:A,[1]Survey_Info!D:D)</f>
        <v>1200</v>
      </c>
      <c r="N24" s="41">
        <f>LOOKUP(J24,[1]Survey_Info!A:A, [1]Survey_Info!J:J)</f>
        <v>180</v>
      </c>
      <c r="O24" s="41">
        <v>0</v>
      </c>
    </row>
    <row r="25" spans="1:15" s="41" customFormat="1" x14ac:dyDescent="0.25">
      <c r="A25" s="35" t="s">
        <v>91</v>
      </c>
      <c r="B25" s="36" t="s">
        <v>22</v>
      </c>
      <c r="C25" s="37">
        <v>15</v>
      </c>
      <c r="D25" s="37">
        <v>51</v>
      </c>
      <c r="E25" s="38">
        <v>59.86</v>
      </c>
      <c r="F25" s="43">
        <v>32</v>
      </c>
      <c r="G25" s="43">
        <v>53</v>
      </c>
      <c r="H25" s="42">
        <f t="shared" si="0"/>
        <v>24.799999999999997</v>
      </c>
      <c r="I25" s="39">
        <v>0</v>
      </c>
      <c r="J25" s="40" t="s">
        <v>10</v>
      </c>
      <c r="K25" s="40">
        <v>42</v>
      </c>
      <c r="L25" s="41" t="str">
        <f>LOOKUP(J25,[1]Survey_Info!A:A,[1]Survey_Info!G:G)</f>
        <v>ACCUM</v>
      </c>
      <c r="M25" s="41">
        <f>LOOKUP(J25,[1]Survey_Info!A:A,[1]Survey_Info!D:D)</f>
        <v>1200</v>
      </c>
      <c r="N25" s="41">
        <f>LOOKUP(J25,[1]Survey_Info!A:A, [1]Survey_Info!J:J)</f>
        <v>180</v>
      </c>
      <c r="O25" s="41">
        <v>0</v>
      </c>
    </row>
    <row r="26" spans="1:15" s="41" customFormat="1" x14ac:dyDescent="0.25">
      <c r="A26" s="35" t="s">
        <v>92</v>
      </c>
      <c r="B26" s="36" t="s">
        <v>22</v>
      </c>
      <c r="C26" s="37">
        <v>15</v>
      </c>
      <c r="D26" s="37">
        <v>51</v>
      </c>
      <c r="E26" s="38">
        <v>59.86</v>
      </c>
      <c r="F26" s="43">
        <v>32</v>
      </c>
      <c r="G26" s="43">
        <v>53</v>
      </c>
      <c r="H26" s="42">
        <f t="shared" si="0"/>
        <v>34.799999999999997</v>
      </c>
      <c r="I26" s="39">
        <v>0</v>
      </c>
      <c r="J26" s="40" t="s">
        <v>10</v>
      </c>
      <c r="K26" s="40">
        <v>40</v>
      </c>
      <c r="L26" s="41" t="str">
        <f>LOOKUP(J26,[1]Survey_Info!A:A,[1]Survey_Info!G:G)</f>
        <v>ACCUM</v>
      </c>
      <c r="M26" s="41">
        <f>LOOKUP(J26,[1]Survey_Info!A:A,[1]Survey_Info!D:D)</f>
        <v>1200</v>
      </c>
      <c r="N26" s="41">
        <f>LOOKUP(J26,[1]Survey_Info!A:A, [1]Survey_Info!J:J)</f>
        <v>180</v>
      </c>
      <c r="O26" s="41">
        <v>0</v>
      </c>
    </row>
    <row r="27" spans="1:15" s="41" customFormat="1" x14ac:dyDescent="0.25">
      <c r="A27" s="35" t="s">
        <v>93</v>
      </c>
      <c r="B27" s="36" t="s">
        <v>22</v>
      </c>
      <c r="C27" s="37">
        <v>15</v>
      </c>
      <c r="D27" s="37">
        <v>51</v>
      </c>
      <c r="E27" s="38">
        <v>59.86</v>
      </c>
      <c r="F27" s="43">
        <v>32</v>
      </c>
      <c r="G27" s="43">
        <v>53</v>
      </c>
      <c r="H27" s="42">
        <f t="shared" si="0"/>
        <v>44.8</v>
      </c>
      <c r="I27" s="39">
        <v>0</v>
      </c>
      <c r="J27" s="40" t="s">
        <v>10</v>
      </c>
      <c r="K27" s="40">
        <v>38</v>
      </c>
      <c r="L27" s="41" t="str">
        <f>LOOKUP(J27,[1]Survey_Info!A:A,[1]Survey_Info!G:G)</f>
        <v>ACCUM</v>
      </c>
      <c r="M27" s="41">
        <f>LOOKUP(J27,[1]Survey_Info!A:A,[1]Survey_Info!D:D)</f>
        <v>1200</v>
      </c>
      <c r="N27" s="41">
        <f>LOOKUP(J27,[1]Survey_Info!A:A, [1]Survey_Info!J:J)</f>
        <v>180</v>
      </c>
      <c r="O27" s="41">
        <v>0</v>
      </c>
    </row>
    <row r="28" spans="1:15" s="41" customFormat="1" x14ac:dyDescent="0.25">
      <c r="A28" s="35" t="s">
        <v>94</v>
      </c>
      <c r="B28" s="36" t="s">
        <v>22</v>
      </c>
      <c r="C28" s="37">
        <v>15</v>
      </c>
      <c r="D28" s="37">
        <v>51</v>
      </c>
      <c r="E28" s="38">
        <v>59.86</v>
      </c>
      <c r="F28" s="43">
        <v>32</v>
      </c>
      <c r="G28" s="43">
        <v>53</v>
      </c>
      <c r="H28" s="42">
        <f t="shared" si="0"/>
        <v>54.8</v>
      </c>
      <c r="I28" s="39">
        <v>0</v>
      </c>
      <c r="J28" s="40" t="s">
        <v>10</v>
      </c>
      <c r="K28" s="40">
        <v>36</v>
      </c>
      <c r="L28" s="41" t="str">
        <f>LOOKUP(J28,[1]Survey_Info!A:A,[1]Survey_Info!G:G)</f>
        <v>ACCUM</v>
      </c>
      <c r="M28" s="41">
        <f>LOOKUP(J28,[1]Survey_Info!A:A,[1]Survey_Info!D:D)</f>
        <v>1200</v>
      </c>
      <c r="N28" s="41">
        <f>LOOKUP(J28,[1]Survey_Info!A:A, [1]Survey_Info!J:J)</f>
        <v>180</v>
      </c>
      <c r="O28" s="41">
        <v>0</v>
      </c>
    </row>
    <row r="29" spans="1:15" s="41" customFormat="1" x14ac:dyDescent="0.25">
      <c r="A29" s="35" t="s">
        <v>95</v>
      </c>
      <c r="B29" s="36" t="s">
        <v>22</v>
      </c>
      <c r="C29" s="37">
        <v>15</v>
      </c>
      <c r="D29" s="37">
        <v>51</v>
      </c>
      <c r="E29" s="38">
        <v>59.86</v>
      </c>
      <c r="F29" s="43">
        <v>32</v>
      </c>
      <c r="G29" s="43">
        <v>54</v>
      </c>
      <c r="H29" s="42">
        <f t="shared" si="0"/>
        <v>4.7999999999999972</v>
      </c>
      <c r="I29" s="39">
        <v>0</v>
      </c>
      <c r="J29" s="40" t="s">
        <v>10</v>
      </c>
      <c r="K29" s="40">
        <v>34</v>
      </c>
      <c r="L29" s="41" t="str">
        <f>LOOKUP(J29,[1]Survey_Info!A:A,[1]Survey_Info!G:G)</f>
        <v>ACCUM</v>
      </c>
      <c r="M29" s="41">
        <f>LOOKUP(J29,[1]Survey_Info!A:A,[1]Survey_Info!D:D)</f>
        <v>1200</v>
      </c>
      <c r="N29" s="41">
        <f>LOOKUP(J29,[1]Survey_Info!A:A, [1]Survey_Info!J:J)</f>
        <v>180</v>
      </c>
      <c r="O29" s="41">
        <v>0</v>
      </c>
    </row>
    <row r="30" spans="1:15" s="41" customFormat="1" x14ac:dyDescent="0.25">
      <c r="A30" s="35" t="s">
        <v>96</v>
      </c>
      <c r="B30" s="36" t="s">
        <v>22</v>
      </c>
      <c r="C30" s="37">
        <v>15</v>
      </c>
      <c r="D30" s="37">
        <v>51</v>
      </c>
      <c r="E30" s="38">
        <v>59.86</v>
      </c>
      <c r="F30" s="43">
        <v>32</v>
      </c>
      <c r="G30" s="43">
        <v>54</v>
      </c>
      <c r="H30" s="42">
        <f t="shared" si="0"/>
        <v>14.799999999999997</v>
      </c>
      <c r="I30" s="39">
        <v>0</v>
      </c>
      <c r="J30" s="40" t="s">
        <v>10</v>
      </c>
      <c r="K30" s="40">
        <v>32</v>
      </c>
      <c r="L30" s="41" t="str">
        <f>LOOKUP(J30,[1]Survey_Info!A:A,[1]Survey_Info!G:G)</f>
        <v>ACCUM</v>
      </c>
      <c r="M30" s="41">
        <f>LOOKUP(J30,[1]Survey_Info!A:A,[1]Survey_Info!D:D)</f>
        <v>1200</v>
      </c>
      <c r="N30" s="41">
        <f>LOOKUP(J30,[1]Survey_Info!A:A, [1]Survey_Info!J:J)</f>
        <v>180</v>
      </c>
      <c r="O30" s="41">
        <v>0</v>
      </c>
    </row>
    <row r="31" spans="1:15" s="41" customFormat="1" x14ac:dyDescent="0.25">
      <c r="A31" s="35" t="s">
        <v>97</v>
      </c>
      <c r="B31" s="36" t="s">
        <v>22</v>
      </c>
      <c r="C31" s="37">
        <v>15</v>
      </c>
      <c r="D31" s="37">
        <v>51</v>
      </c>
      <c r="E31" s="38">
        <v>59.86</v>
      </c>
      <c r="F31" s="43">
        <v>32</v>
      </c>
      <c r="G31" s="43">
        <v>54</v>
      </c>
      <c r="H31" s="42">
        <f t="shared" si="0"/>
        <v>24.799999999999997</v>
      </c>
      <c r="I31" s="39">
        <v>0</v>
      </c>
      <c r="J31" s="40" t="s">
        <v>10</v>
      </c>
      <c r="K31" s="40">
        <v>30</v>
      </c>
      <c r="L31" s="41" t="str">
        <f>LOOKUP(J31,[1]Survey_Info!A:A,[1]Survey_Info!G:G)</f>
        <v>ACCUM</v>
      </c>
      <c r="M31" s="41">
        <f>LOOKUP(J31,[1]Survey_Info!A:A,[1]Survey_Info!D:D)</f>
        <v>1200</v>
      </c>
      <c r="N31" s="41">
        <f>LOOKUP(J31,[1]Survey_Info!A:A, [1]Survey_Info!J:J)</f>
        <v>180</v>
      </c>
      <c r="O31" s="41">
        <v>0</v>
      </c>
    </row>
    <row r="32" spans="1:15" s="41" customFormat="1" x14ac:dyDescent="0.25">
      <c r="A32" s="35" t="s">
        <v>98</v>
      </c>
      <c r="B32" s="36" t="s">
        <v>22</v>
      </c>
      <c r="C32" s="37">
        <v>15</v>
      </c>
      <c r="D32" s="37">
        <v>51</v>
      </c>
      <c r="E32" s="38">
        <v>59.86</v>
      </c>
      <c r="F32" s="43">
        <v>32</v>
      </c>
      <c r="G32" s="43">
        <v>54</v>
      </c>
      <c r="H32" s="42">
        <f t="shared" si="0"/>
        <v>34.799999999999997</v>
      </c>
      <c r="I32" s="39">
        <v>0</v>
      </c>
      <c r="J32" s="40" t="s">
        <v>10</v>
      </c>
      <c r="K32" s="40">
        <v>28</v>
      </c>
      <c r="L32" s="41" t="str">
        <f>LOOKUP(J32,[1]Survey_Info!A:A,[1]Survey_Info!G:G)</f>
        <v>ACCUM</v>
      </c>
      <c r="M32" s="41">
        <f>LOOKUP(J32,[1]Survey_Info!A:A,[1]Survey_Info!D:D)</f>
        <v>1200</v>
      </c>
      <c r="N32" s="41">
        <f>LOOKUP(J32,[1]Survey_Info!A:A, [1]Survey_Info!J:J)</f>
        <v>180</v>
      </c>
      <c r="O32" s="41">
        <v>0</v>
      </c>
    </row>
    <row r="33" spans="1:15" s="41" customFormat="1" x14ac:dyDescent="0.25">
      <c r="A33" s="35" t="s">
        <v>99</v>
      </c>
      <c r="B33" s="36" t="s">
        <v>22</v>
      </c>
      <c r="C33" s="37">
        <v>15</v>
      </c>
      <c r="D33" s="37">
        <v>51</v>
      </c>
      <c r="E33" s="38">
        <v>59.86</v>
      </c>
      <c r="F33" s="43">
        <v>32</v>
      </c>
      <c r="G33" s="43">
        <v>54</v>
      </c>
      <c r="H33" s="42">
        <f t="shared" si="0"/>
        <v>44.8</v>
      </c>
      <c r="I33" s="39">
        <v>0</v>
      </c>
      <c r="J33" s="40" t="s">
        <v>10</v>
      </c>
      <c r="K33" s="40">
        <v>26</v>
      </c>
      <c r="L33" s="41" t="str">
        <f>LOOKUP(J33,[1]Survey_Info!A:A,[1]Survey_Info!G:G)</f>
        <v>ACCUM</v>
      </c>
      <c r="M33" s="41">
        <f>LOOKUP(J33,[1]Survey_Info!A:A,[1]Survey_Info!D:D)</f>
        <v>1200</v>
      </c>
      <c r="N33" s="41">
        <f>LOOKUP(J33,[1]Survey_Info!A:A, [1]Survey_Info!J:J)</f>
        <v>180</v>
      </c>
      <c r="O33" s="41">
        <v>0</v>
      </c>
    </row>
    <row r="34" spans="1:15" s="41" customFormat="1" x14ac:dyDescent="0.25">
      <c r="A34" s="35" t="s">
        <v>100</v>
      </c>
      <c r="B34" s="36" t="s">
        <v>22</v>
      </c>
      <c r="C34" s="37">
        <v>15</v>
      </c>
      <c r="D34" s="37">
        <v>51</v>
      </c>
      <c r="E34" s="38">
        <v>59.86</v>
      </c>
      <c r="F34" s="43">
        <v>32</v>
      </c>
      <c r="G34" s="43">
        <v>54</v>
      </c>
      <c r="H34" s="42">
        <f t="shared" si="0"/>
        <v>54.8</v>
      </c>
      <c r="I34" s="39">
        <v>0</v>
      </c>
      <c r="J34" s="40" t="s">
        <v>10</v>
      </c>
      <c r="K34" s="40">
        <v>24</v>
      </c>
      <c r="L34" s="41" t="str">
        <f>LOOKUP(J34,[1]Survey_Info!A:A,[1]Survey_Info!G:G)</f>
        <v>ACCUM</v>
      </c>
      <c r="M34" s="41">
        <f>LOOKUP(J34,[1]Survey_Info!A:A,[1]Survey_Info!D:D)</f>
        <v>1200</v>
      </c>
      <c r="N34" s="41">
        <f>LOOKUP(J34,[1]Survey_Info!A:A, [1]Survey_Info!J:J)</f>
        <v>180</v>
      </c>
      <c r="O34" s="41">
        <v>0</v>
      </c>
    </row>
    <row r="35" spans="1:15" s="41" customFormat="1" x14ac:dyDescent="0.25">
      <c r="A35" s="35" t="s">
        <v>101</v>
      </c>
      <c r="B35" s="36" t="s">
        <v>22</v>
      </c>
      <c r="C35" s="37">
        <v>15</v>
      </c>
      <c r="D35" s="37">
        <v>51</v>
      </c>
      <c r="E35" s="38">
        <v>59.86</v>
      </c>
      <c r="F35" s="43">
        <v>32</v>
      </c>
      <c r="G35" s="43">
        <v>55</v>
      </c>
      <c r="H35" s="42">
        <f t="shared" si="0"/>
        <v>4.7999999999999972</v>
      </c>
      <c r="I35" s="39">
        <v>0</v>
      </c>
      <c r="J35" s="40" t="s">
        <v>10</v>
      </c>
      <c r="K35" s="40">
        <v>22</v>
      </c>
      <c r="L35" s="41" t="str">
        <f>LOOKUP(J35,[1]Survey_Info!A:A,[1]Survey_Info!G:G)</f>
        <v>ACCUM</v>
      </c>
      <c r="M35" s="41">
        <f>LOOKUP(J35,[1]Survey_Info!A:A,[1]Survey_Info!D:D)</f>
        <v>1200</v>
      </c>
      <c r="N35" s="41">
        <f>LOOKUP(J35,[1]Survey_Info!A:A, [1]Survey_Info!J:J)</f>
        <v>180</v>
      </c>
      <c r="O35" s="41">
        <v>0</v>
      </c>
    </row>
    <row r="36" spans="1:15" s="41" customFormat="1" x14ac:dyDescent="0.25">
      <c r="A36" s="35" t="s">
        <v>102</v>
      </c>
      <c r="B36" s="36" t="s">
        <v>22</v>
      </c>
      <c r="C36" s="37">
        <v>15</v>
      </c>
      <c r="D36" s="37">
        <v>51</v>
      </c>
      <c r="E36" s="38">
        <v>59.86</v>
      </c>
      <c r="F36" s="43">
        <v>32</v>
      </c>
      <c r="G36" s="43">
        <v>55</v>
      </c>
      <c r="H36" s="42">
        <f t="shared" si="0"/>
        <v>14.799999999999997</v>
      </c>
      <c r="I36" s="39">
        <v>0</v>
      </c>
      <c r="J36" s="40" t="s">
        <v>10</v>
      </c>
      <c r="K36" s="40">
        <v>20</v>
      </c>
      <c r="L36" s="41" t="str">
        <f>LOOKUP(J36,[1]Survey_Info!A:A,[1]Survey_Info!G:G)</f>
        <v>ACCUM</v>
      </c>
      <c r="M36" s="41">
        <f>LOOKUP(J36,[1]Survey_Info!A:A,[1]Survey_Info!D:D)</f>
        <v>1200</v>
      </c>
      <c r="N36" s="41">
        <f>LOOKUP(J36,[1]Survey_Info!A:A, [1]Survey_Info!J:J)</f>
        <v>180</v>
      </c>
      <c r="O36" s="41">
        <v>0</v>
      </c>
    </row>
    <row r="37" spans="1:15" s="41" customFormat="1" x14ac:dyDescent="0.25">
      <c r="A37" s="35" t="s">
        <v>103</v>
      </c>
      <c r="B37" s="36" t="s">
        <v>22</v>
      </c>
      <c r="C37" s="37">
        <v>15</v>
      </c>
      <c r="D37" s="37">
        <v>51</v>
      </c>
      <c r="E37" s="38">
        <v>59.86</v>
      </c>
      <c r="F37" s="43">
        <v>32</v>
      </c>
      <c r="G37" s="43">
        <v>55</v>
      </c>
      <c r="H37" s="42">
        <f t="shared" si="0"/>
        <v>24.799999999999997</v>
      </c>
      <c r="I37" s="39">
        <v>0</v>
      </c>
      <c r="J37" s="40" t="s">
        <v>10</v>
      </c>
      <c r="K37" s="40">
        <v>18</v>
      </c>
      <c r="L37" s="41" t="str">
        <f>LOOKUP(J37,[1]Survey_Info!A:A,[1]Survey_Info!G:G)</f>
        <v>ACCUM</v>
      </c>
      <c r="M37" s="41">
        <f>LOOKUP(J37,[1]Survey_Info!A:A,[1]Survey_Info!D:D)</f>
        <v>1200</v>
      </c>
      <c r="N37" s="41">
        <f>LOOKUP(J37,[1]Survey_Info!A:A, [1]Survey_Info!J:J)</f>
        <v>180</v>
      </c>
      <c r="O37" s="41">
        <v>0</v>
      </c>
    </row>
    <row r="38" spans="1:15" s="41" customFormat="1" x14ac:dyDescent="0.25">
      <c r="A38" s="35" t="s">
        <v>104</v>
      </c>
      <c r="B38" s="36" t="s">
        <v>22</v>
      </c>
      <c r="C38" s="37">
        <v>15</v>
      </c>
      <c r="D38" s="37">
        <v>51</v>
      </c>
      <c r="E38" s="38">
        <v>59.86</v>
      </c>
      <c r="F38" s="43">
        <v>32</v>
      </c>
      <c r="G38" s="43">
        <v>55</v>
      </c>
      <c r="H38" s="42">
        <f t="shared" si="0"/>
        <v>34.799999999999997</v>
      </c>
      <c r="I38" s="39">
        <v>0</v>
      </c>
      <c r="J38" s="40" t="s">
        <v>10</v>
      </c>
      <c r="K38" s="40">
        <v>16</v>
      </c>
      <c r="L38" s="41" t="str">
        <f>LOOKUP(J38,[1]Survey_Info!A:A,[1]Survey_Info!G:G)</f>
        <v>ACCUM</v>
      </c>
      <c r="M38" s="41">
        <f>LOOKUP(J38,[1]Survey_Info!A:A,[1]Survey_Info!D:D)</f>
        <v>1200</v>
      </c>
      <c r="N38" s="41">
        <f>LOOKUP(J38,[1]Survey_Info!A:A, [1]Survey_Info!J:J)</f>
        <v>180</v>
      </c>
      <c r="O38" s="41">
        <v>0</v>
      </c>
    </row>
    <row r="39" spans="1:15" s="41" customFormat="1" x14ac:dyDescent="0.25">
      <c r="A39" s="35" t="s">
        <v>105</v>
      </c>
      <c r="B39" s="36" t="s">
        <v>22</v>
      </c>
      <c r="C39" s="37">
        <v>15</v>
      </c>
      <c r="D39" s="37">
        <v>51</v>
      </c>
      <c r="E39" s="38">
        <v>59.86</v>
      </c>
      <c r="F39" s="43">
        <v>32</v>
      </c>
      <c r="G39" s="43">
        <v>55</v>
      </c>
      <c r="H39" s="42">
        <f t="shared" si="0"/>
        <v>44.8</v>
      </c>
      <c r="I39" s="39">
        <v>0</v>
      </c>
      <c r="J39" s="40" t="s">
        <v>10</v>
      </c>
      <c r="K39" s="40">
        <v>14</v>
      </c>
      <c r="L39" s="41" t="str">
        <f>LOOKUP(J39,[1]Survey_Info!A:A,[1]Survey_Info!G:G)</f>
        <v>ACCUM</v>
      </c>
      <c r="M39" s="41">
        <f>LOOKUP(J39,[1]Survey_Info!A:A,[1]Survey_Info!D:D)</f>
        <v>1200</v>
      </c>
      <c r="N39" s="41">
        <f>LOOKUP(J39,[1]Survey_Info!A:A, [1]Survey_Info!J:J)</f>
        <v>180</v>
      </c>
      <c r="O39" s="41">
        <v>0</v>
      </c>
    </row>
    <row r="40" spans="1:15" s="41" customFormat="1" x14ac:dyDescent="0.25">
      <c r="A40" s="35" t="s">
        <v>106</v>
      </c>
      <c r="B40" s="36" t="s">
        <v>22</v>
      </c>
      <c r="C40" s="37">
        <v>15</v>
      </c>
      <c r="D40" s="37">
        <v>51</v>
      </c>
      <c r="E40" s="38">
        <v>59.86</v>
      </c>
      <c r="F40" s="43">
        <v>32</v>
      </c>
      <c r="G40" s="43">
        <v>55</v>
      </c>
      <c r="H40" s="42">
        <f t="shared" si="0"/>
        <v>54.8</v>
      </c>
      <c r="I40" s="39">
        <v>0</v>
      </c>
      <c r="J40" s="40" t="s">
        <v>10</v>
      </c>
      <c r="K40" s="40">
        <v>12</v>
      </c>
      <c r="L40" s="41" t="str">
        <f>LOOKUP(J40,[1]Survey_Info!A:A,[1]Survey_Info!G:G)</f>
        <v>ACCUM</v>
      </c>
      <c r="M40" s="41">
        <f>LOOKUP(J40,[1]Survey_Info!A:A,[1]Survey_Info!D:D)</f>
        <v>1200</v>
      </c>
      <c r="N40" s="41">
        <f>LOOKUP(J40,[1]Survey_Info!A:A, [1]Survey_Info!J:J)</f>
        <v>180</v>
      </c>
      <c r="O40" s="41">
        <v>0</v>
      </c>
    </row>
    <row r="41" spans="1:15" s="41" customFormat="1" x14ac:dyDescent="0.25">
      <c r="A41" s="35" t="s">
        <v>107</v>
      </c>
      <c r="B41" s="36" t="s">
        <v>22</v>
      </c>
      <c r="C41" s="37">
        <v>15</v>
      </c>
      <c r="D41" s="37">
        <v>51</v>
      </c>
      <c r="E41" s="38">
        <v>59.86</v>
      </c>
      <c r="F41" s="43">
        <v>32</v>
      </c>
      <c r="G41" s="43">
        <v>56</v>
      </c>
      <c r="H41" s="42">
        <f t="shared" si="0"/>
        <v>4.7999999999999972</v>
      </c>
      <c r="I41" s="39">
        <v>0</v>
      </c>
      <c r="J41" s="40" t="s">
        <v>10</v>
      </c>
      <c r="K41" s="40">
        <v>10</v>
      </c>
      <c r="L41" s="41" t="str">
        <f>LOOKUP(J41,[1]Survey_Info!A:A,[1]Survey_Info!G:G)</f>
        <v>ACCUM</v>
      </c>
      <c r="M41" s="41">
        <f>LOOKUP(J41,[1]Survey_Info!A:A,[1]Survey_Info!D:D)</f>
        <v>1200</v>
      </c>
      <c r="N41" s="41">
        <f>LOOKUP(J41,[1]Survey_Info!A:A, [1]Survey_Info!J:J)</f>
        <v>180</v>
      </c>
      <c r="O41" s="41">
        <v>0</v>
      </c>
    </row>
    <row r="42" spans="1:15" s="41" customFormat="1" x14ac:dyDescent="0.25">
      <c r="A42" s="35" t="s">
        <v>108</v>
      </c>
      <c r="B42" s="36" t="s">
        <v>22</v>
      </c>
      <c r="C42" s="37">
        <v>15</v>
      </c>
      <c r="D42" s="37">
        <v>51</v>
      </c>
      <c r="E42" s="38">
        <v>59.86</v>
      </c>
      <c r="F42" s="43">
        <v>32</v>
      </c>
      <c r="G42" s="43">
        <v>56</v>
      </c>
      <c r="H42" s="42">
        <f t="shared" si="0"/>
        <v>14.799999999999997</v>
      </c>
      <c r="I42" s="39">
        <v>0</v>
      </c>
      <c r="J42" s="40" t="s">
        <v>10</v>
      </c>
      <c r="K42" s="40">
        <v>8</v>
      </c>
      <c r="L42" s="41" t="str">
        <f>LOOKUP(J42,[1]Survey_Info!A:A,[1]Survey_Info!G:G)</f>
        <v>ACCUM</v>
      </c>
      <c r="M42" s="41">
        <f>LOOKUP(J42,[1]Survey_Info!A:A,[1]Survey_Info!D:D)</f>
        <v>1200</v>
      </c>
      <c r="N42" s="41">
        <f>LOOKUP(J42,[1]Survey_Info!A:A, [1]Survey_Info!J:J)</f>
        <v>180</v>
      </c>
      <c r="O42" s="41">
        <v>0</v>
      </c>
    </row>
    <row r="43" spans="1:15" s="41" customFormat="1" x14ac:dyDescent="0.25">
      <c r="A43" s="35" t="s">
        <v>109</v>
      </c>
      <c r="B43" s="36" t="s">
        <v>22</v>
      </c>
      <c r="C43" s="37">
        <v>15</v>
      </c>
      <c r="D43" s="37">
        <v>51</v>
      </c>
      <c r="E43" s="38">
        <v>59.86</v>
      </c>
      <c r="F43" s="43">
        <v>32</v>
      </c>
      <c r="G43" s="43">
        <v>56</v>
      </c>
      <c r="H43" s="42">
        <f t="shared" si="0"/>
        <v>24.799999999999997</v>
      </c>
      <c r="I43" s="39">
        <v>0</v>
      </c>
      <c r="J43" s="40" t="s">
        <v>10</v>
      </c>
      <c r="K43" s="40">
        <v>6</v>
      </c>
      <c r="L43" s="41" t="str">
        <f>LOOKUP(J43,[1]Survey_Info!A:A,[1]Survey_Info!G:G)</f>
        <v>ACCUM</v>
      </c>
      <c r="M43" s="41">
        <f>LOOKUP(J43,[1]Survey_Info!A:A,[1]Survey_Info!D:D)</f>
        <v>1200</v>
      </c>
      <c r="N43" s="41">
        <f>LOOKUP(J43,[1]Survey_Info!A:A, [1]Survey_Info!J:J)</f>
        <v>180</v>
      </c>
      <c r="O43" s="41">
        <v>0</v>
      </c>
    </row>
    <row r="44" spans="1:15" s="41" customFormat="1" x14ac:dyDescent="0.25">
      <c r="A44" s="35" t="s">
        <v>67</v>
      </c>
      <c r="B44" s="36" t="s">
        <v>22</v>
      </c>
      <c r="C44" s="37">
        <v>15</v>
      </c>
      <c r="D44" s="37">
        <v>51</v>
      </c>
      <c r="E44" s="38">
        <v>59.86</v>
      </c>
      <c r="F44" s="43">
        <v>32</v>
      </c>
      <c r="G44" s="43">
        <v>56</v>
      </c>
      <c r="H44" s="42">
        <f t="shared" si="0"/>
        <v>34.799999999999997</v>
      </c>
      <c r="I44" s="39">
        <v>0</v>
      </c>
      <c r="J44" s="40" t="s">
        <v>10</v>
      </c>
      <c r="K44" s="40">
        <v>4</v>
      </c>
      <c r="L44" s="41" t="str">
        <f>LOOKUP(J44,[1]Survey_Info!A:A,[1]Survey_Info!G:G)</f>
        <v>ACCUM</v>
      </c>
      <c r="M44" s="41">
        <f>LOOKUP(J44,[1]Survey_Info!A:A,[1]Survey_Info!D:D)</f>
        <v>1200</v>
      </c>
      <c r="N44" s="41">
        <f>LOOKUP(J44,[1]Survey_Info!A:A, [1]Survey_Info!J:J)</f>
        <v>180</v>
      </c>
      <c r="O44" s="41">
        <v>0</v>
      </c>
    </row>
    <row r="45" spans="1:15" s="41" customFormat="1" x14ac:dyDescent="0.25">
      <c r="A45" s="35" t="s">
        <v>66</v>
      </c>
      <c r="B45" s="36" t="s">
        <v>22</v>
      </c>
      <c r="C45" s="37">
        <v>15</v>
      </c>
      <c r="D45" s="37">
        <v>51</v>
      </c>
      <c r="E45" s="38">
        <v>59.86</v>
      </c>
      <c r="F45" s="43">
        <v>32</v>
      </c>
      <c r="G45" s="43">
        <v>56</v>
      </c>
      <c r="H45" s="42">
        <f t="shared" si="0"/>
        <v>44.8</v>
      </c>
      <c r="I45" s="39">
        <v>0</v>
      </c>
      <c r="J45" s="40" t="s">
        <v>10</v>
      </c>
      <c r="K45" s="40">
        <v>2</v>
      </c>
      <c r="L45" s="41" t="str">
        <f>LOOKUP(J45,[1]Survey_Info!A:A,[1]Survey_Info!G:G)</f>
        <v>ACCUM</v>
      </c>
      <c r="M45" s="41">
        <f>LOOKUP(J45,[1]Survey_Info!A:A,[1]Survey_Info!D:D)</f>
        <v>1200</v>
      </c>
      <c r="N45" s="41">
        <f>LOOKUP(J45,[1]Survey_Info!A:A, [1]Survey_Info!J:J)</f>
        <v>180</v>
      </c>
      <c r="O45" s="41">
        <v>0</v>
      </c>
    </row>
    <row r="46" spans="1:15" s="27" customFormat="1" x14ac:dyDescent="0.25">
      <c r="A46" s="30" t="s">
        <v>65</v>
      </c>
      <c r="B46" s="31" t="s">
        <v>22</v>
      </c>
      <c r="C46" s="32">
        <v>15</v>
      </c>
      <c r="D46" s="32">
        <v>51</v>
      </c>
      <c r="E46" s="33">
        <v>59.86</v>
      </c>
      <c r="F46" s="32">
        <v>32</v>
      </c>
      <c r="G46" s="32">
        <v>56</v>
      </c>
      <c r="H46" s="33">
        <v>54.8</v>
      </c>
      <c r="I46" s="34">
        <v>0</v>
      </c>
      <c r="J46" s="26" t="s">
        <v>10</v>
      </c>
      <c r="K46" s="26">
        <v>0</v>
      </c>
      <c r="L46" s="27" t="str">
        <f>LOOKUP(J46,[1]Survey_Info!A:A,[1]Survey_Info!G:G)</f>
        <v>ACCUM</v>
      </c>
      <c r="M46" s="27">
        <f>LOOKUP(J46,[1]Survey_Info!A:A,[1]Survey_Info!D:D)</f>
        <v>1200</v>
      </c>
      <c r="N46" s="27">
        <f>LOOKUP(J46,[1]Survey_Info!A:A, [1]Survey_Info!J:J)</f>
        <v>180</v>
      </c>
      <c r="O46" s="27">
        <v>0</v>
      </c>
    </row>
    <row r="47" spans="1:15" s="41" customFormat="1" x14ac:dyDescent="0.25">
      <c r="A47" s="35" t="s">
        <v>110</v>
      </c>
      <c r="B47" s="36" t="s">
        <v>22</v>
      </c>
      <c r="C47" s="37">
        <v>15</v>
      </c>
      <c r="D47" s="37">
        <v>51</v>
      </c>
      <c r="E47" s="38">
        <v>59.86</v>
      </c>
      <c r="F47" s="43">
        <v>32</v>
      </c>
      <c r="G47" s="43">
        <v>57</v>
      </c>
      <c r="H47" s="42">
        <f t="shared" ref="H47:H91" si="1">MOD(H46+10, 60)</f>
        <v>4.7999999999999972</v>
      </c>
      <c r="I47" s="39">
        <v>0</v>
      </c>
      <c r="J47" s="40" t="s">
        <v>10</v>
      </c>
      <c r="K47" s="40">
        <v>90</v>
      </c>
      <c r="L47" s="41" t="str">
        <f>LOOKUP(J47,[1]Survey_Info!A:A,[1]Survey_Info!G:G)</f>
        <v>ACCUM</v>
      </c>
      <c r="M47" s="41">
        <f>LOOKUP(J47,[1]Survey_Info!A:A,[1]Survey_Info!D:D)</f>
        <v>1200</v>
      </c>
      <c r="N47" s="41">
        <f>LOOKUP(J47,[1]Survey_Info!A:A, [1]Survey_Info!J:J)</f>
        <v>180</v>
      </c>
      <c r="O47" s="41">
        <v>0</v>
      </c>
    </row>
    <row r="48" spans="1:15" s="41" customFormat="1" x14ac:dyDescent="0.25">
      <c r="A48" s="35" t="s">
        <v>111</v>
      </c>
      <c r="B48" s="36" t="s">
        <v>22</v>
      </c>
      <c r="C48" s="37">
        <v>15</v>
      </c>
      <c r="D48" s="37">
        <v>51</v>
      </c>
      <c r="E48" s="38">
        <v>59.86</v>
      </c>
      <c r="F48" s="43">
        <v>32</v>
      </c>
      <c r="G48" s="43">
        <v>57</v>
      </c>
      <c r="H48" s="42">
        <f t="shared" si="1"/>
        <v>14.799999999999997</v>
      </c>
      <c r="I48" s="39">
        <v>0</v>
      </c>
      <c r="J48" s="40" t="s">
        <v>10</v>
      </c>
      <c r="K48" s="40">
        <v>92</v>
      </c>
      <c r="L48" s="41" t="str">
        <f>LOOKUP(J48,[1]Survey_Info!A:A,[1]Survey_Info!G:G)</f>
        <v>ACCUM</v>
      </c>
      <c r="M48" s="41">
        <f>LOOKUP(J48,[1]Survey_Info!A:A,[1]Survey_Info!D:D)</f>
        <v>1200</v>
      </c>
      <c r="N48" s="41">
        <f>LOOKUP(J48,[1]Survey_Info!A:A, [1]Survey_Info!J:J)</f>
        <v>180</v>
      </c>
      <c r="O48" s="41">
        <v>0</v>
      </c>
    </row>
    <row r="49" spans="1:15" s="41" customFormat="1" x14ac:dyDescent="0.25">
      <c r="A49" s="35" t="s">
        <v>112</v>
      </c>
      <c r="B49" s="36" t="s">
        <v>22</v>
      </c>
      <c r="C49" s="37">
        <v>15</v>
      </c>
      <c r="D49" s="37">
        <v>51</v>
      </c>
      <c r="E49" s="38">
        <v>59.86</v>
      </c>
      <c r="F49" s="43">
        <v>32</v>
      </c>
      <c r="G49" s="43">
        <v>57</v>
      </c>
      <c r="H49" s="42">
        <f t="shared" si="1"/>
        <v>24.799999999999997</v>
      </c>
      <c r="I49" s="39">
        <v>0</v>
      </c>
      <c r="J49" s="40" t="s">
        <v>10</v>
      </c>
      <c r="K49" s="40">
        <v>94</v>
      </c>
      <c r="L49" s="41" t="str">
        <f>LOOKUP(J49,[1]Survey_Info!A:A,[1]Survey_Info!G:G)</f>
        <v>ACCUM</v>
      </c>
      <c r="M49" s="41">
        <f>LOOKUP(J49,[1]Survey_Info!A:A,[1]Survey_Info!D:D)</f>
        <v>1200</v>
      </c>
      <c r="N49" s="41">
        <f>LOOKUP(J49,[1]Survey_Info!A:A, [1]Survey_Info!J:J)</f>
        <v>180</v>
      </c>
      <c r="O49" s="41">
        <v>0</v>
      </c>
    </row>
    <row r="50" spans="1:15" s="41" customFormat="1" x14ac:dyDescent="0.25">
      <c r="A50" s="35" t="s">
        <v>113</v>
      </c>
      <c r="B50" s="36" t="s">
        <v>22</v>
      </c>
      <c r="C50" s="37">
        <v>15</v>
      </c>
      <c r="D50" s="37">
        <v>51</v>
      </c>
      <c r="E50" s="38">
        <v>59.86</v>
      </c>
      <c r="F50" s="43">
        <v>32</v>
      </c>
      <c r="G50" s="43">
        <v>57</v>
      </c>
      <c r="H50" s="42">
        <f t="shared" si="1"/>
        <v>34.799999999999997</v>
      </c>
      <c r="I50" s="39">
        <v>0</v>
      </c>
      <c r="J50" s="40" t="s">
        <v>10</v>
      </c>
      <c r="K50" s="40">
        <v>96</v>
      </c>
      <c r="L50" s="41" t="str">
        <f>LOOKUP(J50,[1]Survey_Info!A:A,[1]Survey_Info!G:G)</f>
        <v>ACCUM</v>
      </c>
      <c r="M50" s="41">
        <f>LOOKUP(J50,[1]Survey_Info!A:A,[1]Survey_Info!D:D)</f>
        <v>1200</v>
      </c>
      <c r="N50" s="41">
        <f>LOOKUP(J50,[1]Survey_Info!A:A, [1]Survey_Info!J:J)</f>
        <v>180</v>
      </c>
      <c r="O50" s="41">
        <v>0</v>
      </c>
    </row>
    <row r="51" spans="1:15" s="41" customFormat="1" x14ac:dyDescent="0.25">
      <c r="A51" s="35" t="s">
        <v>114</v>
      </c>
      <c r="B51" s="36" t="s">
        <v>22</v>
      </c>
      <c r="C51" s="37">
        <v>15</v>
      </c>
      <c r="D51" s="37">
        <v>51</v>
      </c>
      <c r="E51" s="38">
        <v>59.86</v>
      </c>
      <c r="F51" s="43">
        <v>32</v>
      </c>
      <c r="G51" s="43">
        <v>57</v>
      </c>
      <c r="H51" s="42">
        <f t="shared" si="1"/>
        <v>44.8</v>
      </c>
      <c r="I51" s="39">
        <v>0</v>
      </c>
      <c r="J51" s="40" t="s">
        <v>10</v>
      </c>
      <c r="K51" s="40">
        <v>98</v>
      </c>
      <c r="L51" s="41" t="str">
        <f>LOOKUP(J51,[1]Survey_Info!A:A,[1]Survey_Info!G:G)</f>
        <v>ACCUM</v>
      </c>
      <c r="M51" s="41">
        <f>LOOKUP(J51,[1]Survey_Info!A:A,[1]Survey_Info!D:D)</f>
        <v>1200</v>
      </c>
      <c r="N51" s="41">
        <f>LOOKUP(J51,[1]Survey_Info!A:A, [1]Survey_Info!J:J)</f>
        <v>180</v>
      </c>
      <c r="O51" s="41">
        <v>0</v>
      </c>
    </row>
    <row r="52" spans="1:15" s="41" customFormat="1" x14ac:dyDescent="0.25">
      <c r="A52" s="35" t="s">
        <v>115</v>
      </c>
      <c r="B52" s="36" t="s">
        <v>22</v>
      </c>
      <c r="C52" s="37">
        <v>15</v>
      </c>
      <c r="D52" s="37">
        <v>51</v>
      </c>
      <c r="E52" s="38">
        <v>59.86</v>
      </c>
      <c r="F52" s="43">
        <v>32</v>
      </c>
      <c r="G52" s="43">
        <v>57</v>
      </c>
      <c r="H52" s="42">
        <f t="shared" si="1"/>
        <v>54.8</v>
      </c>
      <c r="I52" s="39">
        <v>0</v>
      </c>
      <c r="J52" s="40" t="s">
        <v>10</v>
      </c>
      <c r="K52" s="40">
        <v>100</v>
      </c>
      <c r="L52" s="41" t="str">
        <f>LOOKUP(J52,[1]Survey_Info!A:A,[1]Survey_Info!G:G)</f>
        <v>ACCUM</v>
      </c>
      <c r="M52" s="41">
        <f>LOOKUP(J52,[1]Survey_Info!A:A,[1]Survey_Info!D:D)</f>
        <v>1200</v>
      </c>
      <c r="N52" s="41">
        <f>LOOKUP(J52,[1]Survey_Info!A:A, [1]Survey_Info!J:J)</f>
        <v>180</v>
      </c>
      <c r="O52" s="41">
        <v>0</v>
      </c>
    </row>
    <row r="53" spans="1:15" s="41" customFormat="1" x14ac:dyDescent="0.25">
      <c r="A53" s="35" t="s">
        <v>116</v>
      </c>
      <c r="B53" s="36" t="s">
        <v>22</v>
      </c>
      <c r="C53" s="37">
        <v>15</v>
      </c>
      <c r="D53" s="37">
        <v>51</v>
      </c>
      <c r="E53" s="38">
        <v>59.86</v>
      </c>
      <c r="F53" s="43">
        <v>32</v>
      </c>
      <c r="G53" s="43">
        <v>58</v>
      </c>
      <c r="H53" s="42">
        <f t="shared" si="1"/>
        <v>4.7999999999999972</v>
      </c>
      <c r="I53" s="39">
        <v>0</v>
      </c>
      <c r="J53" s="40" t="s">
        <v>10</v>
      </c>
      <c r="K53" s="40">
        <v>102</v>
      </c>
      <c r="L53" s="41" t="str">
        <f>LOOKUP(J53,[1]Survey_Info!A:A,[1]Survey_Info!G:G)</f>
        <v>ACCUM</v>
      </c>
      <c r="M53" s="41">
        <f>LOOKUP(J53,[1]Survey_Info!A:A,[1]Survey_Info!D:D)</f>
        <v>1200</v>
      </c>
      <c r="N53" s="41">
        <f>LOOKUP(J53,[1]Survey_Info!A:A, [1]Survey_Info!J:J)</f>
        <v>180</v>
      </c>
      <c r="O53" s="41">
        <v>0</v>
      </c>
    </row>
    <row r="54" spans="1:15" s="41" customFormat="1" x14ac:dyDescent="0.25">
      <c r="A54" s="35" t="s">
        <v>117</v>
      </c>
      <c r="B54" s="36" t="s">
        <v>22</v>
      </c>
      <c r="C54" s="37">
        <v>15</v>
      </c>
      <c r="D54" s="37">
        <v>51</v>
      </c>
      <c r="E54" s="38">
        <v>59.86</v>
      </c>
      <c r="F54" s="43">
        <v>32</v>
      </c>
      <c r="G54" s="43">
        <v>58</v>
      </c>
      <c r="H54" s="42">
        <f t="shared" si="1"/>
        <v>14.799999999999997</v>
      </c>
      <c r="I54" s="39">
        <v>0</v>
      </c>
      <c r="J54" s="40" t="s">
        <v>10</v>
      </c>
      <c r="K54" s="40">
        <v>104</v>
      </c>
      <c r="L54" s="41" t="str">
        <f>LOOKUP(J54,[1]Survey_Info!A:A,[1]Survey_Info!G:G)</f>
        <v>ACCUM</v>
      </c>
      <c r="M54" s="41">
        <f>LOOKUP(J54,[1]Survey_Info!A:A,[1]Survey_Info!D:D)</f>
        <v>1200</v>
      </c>
      <c r="N54" s="41">
        <f>LOOKUP(J54,[1]Survey_Info!A:A, [1]Survey_Info!J:J)</f>
        <v>180</v>
      </c>
      <c r="O54" s="41">
        <v>0</v>
      </c>
    </row>
    <row r="55" spans="1:15" s="41" customFormat="1" x14ac:dyDescent="0.25">
      <c r="A55" s="35" t="s">
        <v>118</v>
      </c>
      <c r="B55" s="36" t="s">
        <v>22</v>
      </c>
      <c r="C55" s="37">
        <v>15</v>
      </c>
      <c r="D55" s="37">
        <v>51</v>
      </c>
      <c r="E55" s="38">
        <v>59.86</v>
      </c>
      <c r="F55" s="43">
        <v>32</v>
      </c>
      <c r="G55" s="43">
        <v>58</v>
      </c>
      <c r="H55" s="42">
        <f t="shared" si="1"/>
        <v>24.799999999999997</v>
      </c>
      <c r="I55" s="39">
        <v>0</v>
      </c>
      <c r="J55" s="40" t="s">
        <v>10</v>
      </c>
      <c r="K55" s="40">
        <v>106</v>
      </c>
      <c r="L55" s="41" t="str">
        <f>LOOKUP(J55,[1]Survey_Info!A:A,[1]Survey_Info!G:G)</f>
        <v>ACCUM</v>
      </c>
      <c r="M55" s="41">
        <f>LOOKUP(J55,[1]Survey_Info!A:A,[1]Survey_Info!D:D)</f>
        <v>1200</v>
      </c>
      <c r="N55" s="41">
        <f>LOOKUP(J55,[1]Survey_Info!A:A, [1]Survey_Info!J:J)</f>
        <v>180</v>
      </c>
      <c r="O55" s="41">
        <v>0</v>
      </c>
    </row>
    <row r="56" spans="1:15" s="41" customFormat="1" x14ac:dyDescent="0.25">
      <c r="A56" s="35" t="s">
        <v>119</v>
      </c>
      <c r="B56" s="36" t="s">
        <v>22</v>
      </c>
      <c r="C56" s="37">
        <v>15</v>
      </c>
      <c r="D56" s="37">
        <v>51</v>
      </c>
      <c r="E56" s="38">
        <v>59.86</v>
      </c>
      <c r="F56" s="43">
        <v>32</v>
      </c>
      <c r="G56" s="43">
        <v>58</v>
      </c>
      <c r="H56" s="42">
        <f t="shared" si="1"/>
        <v>34.799999999999997</v>
      </c>
      <c r="I56" s="39">
        <v>0</v>
      </c>
      <c r="J56" s="40" t="s">
        <v>10</v>
      </c>
      <c r="K56" s="40">
        <v>108</v>
      </c>
      <c r="L56" s="41" t="str">
        <f>LOOKUP(J56,[1]Survey_Info!A:A,[1]Survey_Info!G:G)</f>
        <v>ACCUM</v>
      </c>
      <c r="M56" s="41">
        <f>LOOKUP(J56,[1]Survey_Info!A:A,[1]Survey_Info!D:D)</f>
        <v>1200</v>
      </c>
      <c r="N56" s="41">
        <f>LOOKUP(J56,[1]Survey_Info!A:A, [1]Survey_Info!J:J)</f>
        <v>180</v>
      </c>
      <c r="O56" s="41">
        <v>0</v>
      </c>
    </row>
    <row r="57" spans="1:15" s="41" customFormat="1" x14ac:dyDescent="0.25">
      <c r="A57" s="35" t="s">
        <v>120</v>
      </c>
      <c r="B57" s="36" t="s">
        <v>22</v>
      </c>
      <c r="C57" s="37">
        <v>15</v>
      </c>
      <c r="D57" s="37">
        <v>51</v>
      </c>
      <c r="E57" s="38">
        <v>59.86</v>
      </c>
      <c r="F57" s="43">
        <v>32</v>
      </c>
      <c r="G57" s="43">
        <v>58</v>
      </c>
      <c r="H57" s="42">
        <f t="shared" si="1"/>
        <v>44.8</v>
      </c>
      <c r="I57" s="39">
        <v>0</v>
      </c>
      <c r="J57" s="40" t="s">
        <v>10</v>
      </c>
      <c r="K57" s="40">
        <v>110</v>
      </c>
      <c r="L57" s="41" t="str">
        <f>LOOKUP(J57,[1]Survey_Info!A:A,[1]Survey_Info!G:G)</f>
        <v>ACCUM</v>
      </c>
      <c r="M57" s="41">
        <f>LOOKUP(J57,[1]Survey_Info!A:A,[1]Survey_Info!D:D)</f>
        <v>1200</v>
      </c>
      <c r="N57" s="41">
        <f>LOOKUP(J57,[1]Survey_Info!A:A, [1]Survey_Info!J:J)</f>
        <v>180</v>
      </c>
      <c r="O57" s="41">
        <v>0</v>
      </c>
    </row>
    <row r="58" spans="1:15" s="41" customFormat="1" x14ac:dyDescent="0.25">
      <c r="A58" s="35" t="s">
        <v>121</v>
      </c>
      <c r="B58" s="36" t="s">
        <v>22</v>
      </c>
      <c r="C58" s="37">
        <v>15</v>
      </c>
      <c r="D58" s="37">
        <v>51</v>
      </c>
      <c r="E58" s="38">
        <v>59.86</v>
      </c>
      <c r="F58" s="43">
        <v>32</v>
      </c>
      <c r="G58" s="43">
        <v>58</v>
      </c>
      <c r="H58" s="42">
        <f t="shared" si="1"/>
        <v>54.8</v>
      </c>
      <c r="I58" s="39">
        <v>0</v>
      </c>
      <c r="J58" s="40" t="s">
        <v>10</v>
      </c>
      <c r="K58" s="40">
        <v>112</v>
      </c>
      <c r="L58" s="41" t="str">
        <f>LOOKUP(J58,[1]Survey_Info!A:A,[1]Survey_Info!G:G)</f>
        <v>ACCUM</v>
      </c>
      <c r="M58" s="41">
        <f>LOOKUP(J58,[1]Survey_Info!A:A,[1]Survey_Info!D:D)</f>
        <v>1200</v>
      </c>
      <c r="N58" s="41">
        <f>LOOKUP(J58,[1]Survey_Info!A:A, [1]Survey_Info!J:J)</f>
        <v>180</v>
      </c>
      <c r="O58" s="41">
        <v>0</v>
      </c>
    </row>
    <row r="59" spans="1:15" s="41" customFormat="1" x14ac:dyDescent="0.25">
      <c r="A59" s="35" t="s">
        <v>122</v>
      </c>
      <c r="B59" s="36" t="s">
        <v>22</v>
      </c>
      <c r="C59" s="37">
        <v>15</v>
      </c>
      <c r="D59" s="37">
        <v>51</v>
      </c>
      <c r="E59" s="38">
        <v>59.86</v>
      </c>
      <c r="F59" s="43">
        <v>32</v>
      </c>
      <c r="G59" s="43">
        <v>59</v>
      </c>
      <c r="H59" s="42">
        <f t="shared" si="1"/>
        <v>4.7999999999999972</v>
      </c>
      <c r="I59" s="39">
        <v>0</v>
      </c>
      <c r="J59" s="40" t="s">
        <v>10</v>
      </c>
      <c r="K59" s="40">
        <v>114</v>
      </c>
      <c r="L59" s="41" t="str">
        <f>LOOKUP(J59,[1]Survey_Info!A:A,[1]Survey_Info!G:G)</f>
        <v>ACCUM</v>
      </c>
      <c r="M59" s="41">
        <f>LOOKUP(J59,[1]Survey_Info!A:A,[1]Survey_Info!D:D)</f>
        <v>1200</v>
      </c>
      <c r="N59" s="41">
        <f>LOOKUP(J59,[1]Survey_Info!A:A, [1]Survey_Info!J:J)</f>
        <v>180</v>
      </c>
      <c r="O59" s="41">
        <v>0</v>
      </c>
    </row>
    <row r="60" spans="1:15" s="41" customFormat="1" x14ac:dyDescent="0.25">
      <c r="A60" s="35" t="s">
        <v>123</v>
      </c>
      <c r="B60" s="36" t="s">
        <v>22</v>
      </c>
      <c r="C60" s="37">
        <v>15</v>
      </c>
      <c r="D60" s="37">
        <v>51</v>
      </c>
      <c r="E60" s="38">
        <v>59.86</v>
      </c>
      <c r="F60" s="43">
        <v>32</v>
      </c>
      <c r="G60" s="43">
        <v>59</v>
      </c>
      <c r="H60" s="42">
        <f t="shared" si="1"/>
        <v>14.799999999999997</v>
      </c>
      <c r="I60" s="39">
        <v>0</v>
      </c>
      <c r="J60" s="40" t="s">
        <v>10</v>
      </c>
      <c r="K60" s="40">
        <v>116</v>
      </c>
      <c r="L60" s="41" t="str">
        <f>LOOKUP(J60,[1]Survey_Info!A:A,[1]Survey_Info!G:G)</f>
        <v>ACCUM</v>
      </c>
      <c r="M60" s="41">
        <f>LOOKUP(J60,[1]Survey_Info!A:A,[1]Survey_Info!D:D)</f>
        <v>1200</v>
      </c>
      <c r="N60" s="41">
        <f>LOOKUP(J60,[1]Survey_Info!A:A, [1]Survey_Info!J:J)</f>
        <v>180</v>
      </c>
      <c r="O60" s="41">
        <v>0</v>
      </c>
    </row>
    <row r="61" spans="1:15" s="41" customFormat="1" x14ac:dyDescent="0.25">
      <c r="A61" s="35" t="s">
        <v>124</v>
      </c>
      <c r="B61" s="36" t="s">
        <v>22</v>
      </c>
      <c r="C61" s="37">
        <v>15</v>
      </c>
      <c r="D61" s="37">
        <v>51</v>
      </c>
      <c r="E61" s="38">
        <v>59.86</v>
      </c>
      <c r="F61" s="43">
        <v>32</v>
      </c>
      <c r="G61" s="43">
        <v>59</v>
      </c>
      <c r="H61" s="42">
        <f t="shared" si="1"/>
        <v>24.799999999999997</v>
      </c>
      <c r="I61" s="39">
        <v>0</v>
      </c>
      <c r="J61" s="40" t="s">
        <v>10</v>
      </c>
      <c r="K61" s="40">
        <v>118</v>
      </c>
      <c r="L61" s="41" t="str">
        <f>LOOKUP(J61,[1]Survey_Info!A:A,[1]Survey_Info!G:G)</f>
        <v>ACCUM</v>
      </c>
      <c r="M61" s="41">
        <f>LOOKUP(J61,[1]Survey_Info!A:A,[1]Survey_Info!D:D)</f>
        <v>1200</v>
      </c>
      <c r="N61" s="41">
        <f>LOOKUP(J61,[1]Survey_Info!A:A, [1]Survey_Info!J:J)</f>
        <v>180</v>
      </c>
      <c r="O61" s="41">
        <v>0</v>
      </c>
    </row>
    <row r="62" spans="1:15" s="41" customFormat="1" x14ac:dyDescent="0.25">
      <c r="A62" s="35" t="s">
        <v>125</v>
      </c>
      <c r="B62" s="36" t="s">
        <v>22</v>
      </c>
      <c r="C62" s="37">
        <v>15</v>
      </c>
      <c r="D62" s="37">
        <v>51</v>
      </c>
      <c r="E62" s="38">
        <v>59.86</v>
      </c>
      <c r="F62" s="43">
        <v>32</v>
      </c>
      <c r="G62" s="43">
        <v>59</v>
      </c>
      <c r="H62" s="42">
        <f t="shared" si="1"/>
        <v>34.799999999999997</v>
      </c>
      <c r="I62" s="39">
        <v>0</v>
      </c>
      <c r="J62" s="40" t="s">
        <v>10</v>
      </c>
      <c r="K62" s="40">
        <v>120</v>
      </c>
      <c r="L62" s="41" t="str">
        <f>LOOKUP(J62,[1]Survey_Info!A:A,[1]Survey_Info!G:G)</f>
        <v>ACCUM</v>
      </c>
      <c r="M62" s="41">
        <f>LOOKUP(J62,[1]Survey_Info!A:A,[1]Survey_Info!D:D)</f>
        <v>1200</v>
      </c>
      <c r="N62" s="41">
        <f>LOOKUP(J62,[1]Survey_Info!A:A, [1]Survey_Info!J:J)</f>
        <v>180</v>
      </c>
      <c r="O62" s="41">
        <v>0</v>
      </c>
    </row>
    <row r="63" spans="1:15" s="41" customFormat="1" x14ac:dyDescent="0.25">
      <c r="A63" s="35" t="s">
        <v>126</v>
      </c>
      <c r="B63" s="36" t="s">
        <v>22</v>
      </c>
      <c r="C63" s="37">
        <v>15</v>
      </c>
      <c r="D63" s="37">
        <v>51</v>
      </c>
      <c r="E63" s="38">
        <v>59.86</v>
      </c>
      <c r="F63" s="43">
        <v>32</v>
      </c>
      <c r="G63" s="43">
        <v>59</v>
      </c>
      <c r="H63" s="42">
        <f t="shared" si="1"/>
        <v>44.8</v>
      </c>
      <c r="I63" s="39">
        <v>0</v>
      </c>
      <c r="J63" s="40" t="s">
        <v>10</v>
      </c>
      <c r="K63" s="40">
        <v>122</v>
      </c>
      <c r="L63" s="41" t="str">
        <f>LOOKUP(J63,[1]Survey_Info!A:A,[1]Survey_Info!G:G)</f>
        <v>ACCUM</v>
      </c>
      <c r="M63" s="41">
        <f>LOOKUP(J63,[1]Survey_Info!A:A,[1]Survey_Info!D:D)</f>
        <v>1200</v>
      </c>
      <c r="N63" s="41">
        <f>LOOKUP(J63,[1]Survey_Info!A:A, [1]Survey_Info!J:J)</f>
        <v>180</v>
      </c>
      <c r="O63" s="41">
        <v>0</v>
      </c>
    </row>
    <row r="64" spans="1:15" s="41" customFormat="1" x14ac:dyDescent="0.25">
      <c r="A64" s="35" t="s">
        <v>127</v>
      </c>
      <c r="B64" s="36" t="s">
        <v>22</v>
      </c>
      <c r="C64" s="37">
        <v>15</v>
      </c>
      <c r="D64" s="37">
        <v>51</v>
      </c>
      <c r="E64" s="38">
        <v>59.86</v>
      </c>
      <c r="F64" s="43">
        <v>32</v>
      </c>
      <c r="G64" s="43">
        <v>59</v>
      </c>
      <c r="H64" s="42">
        <f t="shared" si="1"/>
        <v>54.8</v>
      </c>
      <c r="I64" s="39">
        <v>0</v>
      </c>
      <c r="J64" s="40" t="s">
        <v>10</v>
      </c>
      <c r="K64" s="40">
        <v>124</v>
      </c>
      <c r="L64" s="41" t="str">
        <f>LOOKUP(J64,[1]Survey_Info!A:A,[1]Survey_Info!G:G)</f>
        <v>ACCUM</v>
      </c>
      <c r="M64" s="41">
        <f>LOOKUP(J64,[1]Survey_Info!A:A,[1]Survey_Info!D:D)</f>
        <v>1200</v>
      </c>
      <c r="N64" s="41">
        <f>LOOKUP(J64,[1]Survey_Info!A:A, [1]Survey_Info!J:J)</f>
        <v>180</v>
      </c>
      <c r="O64" s="41">
        <v>0</v>
      </c>
    </row>
    <row r="65" spans="1:15" s="41" customFormat="1" x14ac:dyDescent="0.25">
      <c r="A65" s="35" t="s">
        <v>128</v>
      </c>
      <c r="B65" s="36" t="s">
        <v>22</v>
      </c>
      <c r="C65" s="37">
        <v>15</v>
      </c>
      <c r="D65" s="37">
        <v>51</v>
      </c>
      <c r="E65" s="38">
        <v>59.86</v>
      </c>
      <c r="F65" s="43">
        <v>33</v>
      </c>
      <c r="G65" s="43">
        <v>1</v>
      </c>
      <c r="H65" s="42">
        <f t="shared" si="1"/>
        <v>4.7999999999999972</v>
      </c>
      <c r="I65" s="39">
        <v>0</v>
      </c>
      <c r="J65" s="40" t="s">
        <v>10</v>
      </c>
      <c r="K65" s="40">
        <v>126</v>
      </c>
      <c r="L65" s="41" t="str">
        <f>LOOKUP(J65,[1]Survey_Info!A:A,[1]Survey_Info!G:G)</f>
        <v>ACCUM</v>
      </c>
      <c r="M65" s="41">
        <f>LOOKUP(J65,[1]Survey_Info!A:A,[1]Survey_Info!D:D)</f>
        <v>1200</v>
      </c>
      <c r="N65" s="41">
        <f>LOOKUP(J65,[1]Survey_Info!A:A, [1]Survey_Info!J:J)</f>
        <v>180</v>
      </c>
      <c r="O65" s="41">
        <v>0</v>
      </c>
    </row>
    <row r="66" spans="1:15" s="41" customFormat="1" x14ac:dyDescent="0.25">
      <c r="A66" s="35" t="s">
        <v>129</v>
      </c>
      <c r="B66" s="36" t="s">
        <v>22</v>
      </c>
      <c r="C66" s="37">
        <v>15</v>
      </c>
      <c r="D66" s="37">
        <v>51</v>
      </c>
      <c r="E66" s="38">
        <v>59.86</v>
      </c>
      <c r="F66" s="43">
        <v>33</v>
      </c>
      <c r="G66" s="43">
        <v>1</v>
      </c>
      <c r="H66" s="42">
        <f t="shared" si="1"/>
        <v>14.799999999999997</v>
      </c>
      <c r="I66" s="39">
        <v>0</v>
      </c>
      <c r="J66" s="40" t="s">
        <v>10</v>
      </c>
      <c r="K66" s="40">
        <v>128</v>
      </c>
      <c r="L66" s="41" t="str">
        <f>LOOKUP(J66,[1]Survey_Info!A:A,[1]Survey_Info!G:G)</f>
        <v>ACCUM</v>
      </c>
      <c r="M66" s="41">
        <f>LOOKUP(J66,[1]Survey_Info!A:A,[1]Survey_Info!D:D)</f>
        <v>1200</v>
      </c>
      <c r="N66" s="41">
        <f>LOOKUP(J66,[1]Survey_Info!A:A, [1]Survey_Info!J:J)</f>
        <v>180</v>
      </c>
      <c r="O66" s="41">
        <v>0</v>
      </c>
    </row>
    <row r="67" spans="1:15" s="41" customFormat="1" x14ac:dyDescent="0.25">
      <c r="A67" s="35" t="s">
        <v>130</v>
      </c>
      <c r="B67" s="36" t="s">
        <v>22</v>
      </c>
      <c r="C67" s="37">
        <v>15</v>
      </c>
      <c r="D67" s="37">
        <v>51</v>
      </c>
      <c r="E67" s="38">
        <v>59.86</v>
      </c>
      <c r="F67" s="43">
        <v>33</v>
      </c>
      <c r="G67" s="43">
        <v>1</v>
      </c>
      <c r="H67" s="42">
        <f t="shared" si="1"/>
        <v>24.799999999999997</v>
      </c>
      <c r="I67" s="39">
        <v>0</v>
      </c>
      <c r="J67" s="40" t="s">
        <v>10</v>
      </c>
      <c r="K67" s="40">
        <v>130</v>
      </c>
      <c r="L67" s="41" t="str">
        <f>LOOKUP(J67,[1]Survey_Info!A:A,[1]Survey_Info!G:G)</f>
        <v>ACCUM</v>
      </c>
      <c r="M67" s="41">
        <f>LOOKUP(J67,[1]Survey_Info!A:A,[1]Survey_Info!D:D)</f>
        <v>1200</v>
      </c>
      <c r="N67" s="41">
        <f>LOOKUP(J67,[1]Survey_Info!A:A, [1]Survey_Info!J:J)</f>
        <v>180</v>
      </c>
      <c r="O67" s="41">
        <v>0</v>
      </c>
    </row>
    <row r="68" spans="1:15" s="41" customFormat="1" x14ac:dyDescent="0.25">
      <c r="A68" s="35" t="s">
        <v>131</v>
      </c>
      <c r="B68" s="36" t="s">
        <v>22</v>
      </c>
      <c r="C68" s="37">
        <v>15</v>
      </c>
      <c r="D68" s="37">
        <v>51</v>
      </c>
      <c r="E68" s="38">
        <v>59.86</v>
      </c>
      <c r="F68" s="43">
        <v>33</v>
      </c>
      <c r="G68" s="43">
        <v>1</v>
      </c>
      <c r="H68" s="42">
        <f t="shared" si="1"/>
        <v>34.799999999999997</v>
      </c>
      <c r="I68" s="39">
        <v>0</v>
      </c>
      <c r="J68" s="40" t="s">
        <v>10</v>
      </c>
      <c r="K68" s="40">
        <v>132</v>
      </c>
      <c r="L68" s="41" t="str">
        <f>LOOKUP(J68,[1]Survey_Info!A:A,[1]Survey_Info!G:G)</f>
        <v>ACCUM</v>
      </c>
      <c r="M68" s="41">
        <f>LOOKUP(J68,[1]Survey_Info!A:A,[1]Survey_Info!D:D)</f>
        <v>1200</v>
      </c>
      <c r="N68" s="41">
        <f>LOOKUP(J68,[1]Survey_Info!A:A, [1]Survey_Info!J:J)</f>
        <v>180</v>
      </c>
      <c r="O68" s="41">
        <v>0</v>
      </c>
    </row>
    <row r="69" spans="1:15" s="41" customFormat="1" x14ac:dyDescent="0.25">
      <c r="A69" s="35" t="s">
        <v>132</v>
      </c>
      <c r="B69" s="36" t="s">
        <v>22</v>
      </c>
      <c r="C69" s="37">
        <v>15</v>
      </c>
      <c r="D69" s="37">
        <v>51</v>
      </c>
      <c r="E69" s="38">
        <v>59.86</v>
      </c>
      <c r="F69" s="43">
        <v>33</v>
      </c>
      <c r="G69" s="43">
        <v>1</v>
      </c>
      <c r="H69" s="42">
        <f t="shared" si="1"/>
        <v>44.8</v>
      </c>
      <c r="I69" s="39">
        <v>0</v>
      </c>
      <c r="J69" s="40" t="s">
        <v>10</v>
      </c>
      <c r="K69" s="40">
        <v>134</v>
      </c>
      <c r="L69" s="41" t="str">
        <f>LOOKUP(J69,[1]Survey_Info!A:A,[1]Survey_Info!G:G)</f>
        <v>ACCUM</v>
      </c>
      <c r="M69" s="41">
        <f>LOOKUP(J69,[1]Survey_Info!A:A,[1]Survey_Info!D:D)</f>
        <v>1200</v>
      </c>
      <c r="N69" s="41">
        <f>LOOKUP(J69,[1]Survey_Info!A:A, [1]Survey_Info!J:J)</f>
        <v>180</v>
      </c>
      <c r="O69" s="41">
        <v>0</v>
      </c>
    </row>
    <row r="70" spans="1:15" s="41" customFormat="1" x14ac:dyDescent="0.25">
      <c r="A70" s="35" t="s">
        <v>133</v>
      </c>
      <c r="B70" s="36" t="s">
        <v>22</v>
      </c>
      <c r="C70" s="37">
        <v>15</v>
      </c>
      <c r="D70" s="37">
        <v>51</v>
      </c>
      <c r="E70" s="38">
        <v>59.86</v>
      </c>
      <c r="F70" s="43">
        <v>33</v>
      </c>
      <c r="G70" s="43">
        <v>1</v>
      </c>
      <c r="H70" s="42">
        <f t="shared" si="1"/>
        <v>54.8</v>
      </c>
      <c r="I70" s="39">
        <v>0</v>
      </c>
      <c r="J70" s="40" t="s">
        <v>10</v>
      </c>
      <c r="K70" s="40">
        <v>136</v>
      </c>
      <c r="L70" s="41" t="str">
        <f>LOOKUP(J70,[1]Survey_Info!A:A,[1]Survey_Info!G:G)</f>
        <v>ACCUM</v>
      </c>
      <c r="M70" s="41">
        <f>LOOKUP(J70,[1]Survey_Info!A:A,[1]Survey_Info!D:D)</f>
        <v>1200</v>
      </c>
      <c r="N70" s="41">
        <f>LOOKUP(J70,[1]Survey_Info!A:A, [1]Survey_Info!J:J)</f>
        <v>180</v>
      </c>
      <c r="O70" s="41">
        <v>0</v>
      </c>
    </row>
    <row r="71" spans="1:15" s="41" customFormat="1" x14ac:dyDescent="0.25">
      <c r="A71" s="35" t="s">
        <v>134</v>
      </c>
      <c r="B71" s="36" t="s">
        <v>22</v>
      </c>
      <c r="C71" s="37">
        <v>15</v>
      </c>
      <c r="D71" s="37">
        <v>51</v>
      </c>
      <c r="E71" s="38">
        <v>59.86</v>
      </c>
      <c r="F71" s="43">
        <v>33</v>
      </c>
      <c r="G71" s="43">
        <v>2</v>
      </c>
      <c r="H71" s="42">
        <f t="shared" si="1"/>
        <v>4.7999999999999972</v>
      </c>
      <c r="I71" s="39">
        <v>0</v>
      </c>
      <c r="J71" s="40" t="s">
        <v>10</v>
      </c>
      <c r="K71" s="40">
        <v>138</v>
      </c>
      <c r="L71" s="41" t="str">
        <f>LOOKUP(J71,[1]Survey_Info!A:A,[1]Survey_Info!G:G)</f>
        <v>ACCUM</v>
      </c>
      <c r="M71" s="41">
        <f>LOOKUP(J71,[1]Survey_Info!A:A,[1]Survey_Info!D:D)</f>
        <v>1200</v>
      </c>
      <c r="N71" s="41">
        <f>LOOKUP(J71,[1]Survey_Info!A:A, [1]Survey_Info!J:J)</f>
        <v>180</v>
      </c>
      <c r="O71" s="41">
        <v>0</v>
      </c>
    </row>
    <row r="72" spans="1:15" s="41" customFormat="1" x14ac:dyDescent="0.25">
      <c r="A72" s="35" t="s">
        <v>135</v>
      </c>
      <c r="B72" s="36" t="s">
        <v>22</v>
      </c>
      <c r="C72" s="37">
        <v>15</v>
      </c>
      <c r="D72" s="37">
        <v>51</v>
      </c>
      <c r="E72" s="38">
        <v>59.86</v>
      </c>
      <c r="F72" s="43">
        <v>33</v>
      </c>
      <c r="G72" s="43">
        <v>2</v>
      </c>
      <c r="H72" s="42">
        <f t="shared" si="1"/>
        <v>14.799999999999997</v>
      </c>
      <c r="I72" s="39">
        <v>0</v>
      </c>
      <c r="J72" s="40" t="s">
        <v>10</v>
      </c>
      <c r="K72" s="40">
        <v>140</v>
      </c>
      <c r="L72" s="41" t="str">
        <f>LOOKUP(J72,[1]Survey_Info!A:A,[1]Survey_Info!G:G)</f>
        <v>ACCUM</v>
      </c>
      <c r="M72" s="41">
        <f>LOOKUP(J72,[1]Survey_Info!A:A,[1]Survey_Info!D:D)</f>
        <v>1200</v>
      </c>
      <c r="N72" s="41">
        <f>LOOKUP(J72,[1]Survey_Info!A:A, [1]Survey_Info!J:J)</f>
        <v>180</v>
      </c>
      <c r="O72" s="41">
        <v>0</v>
      </c>
    </row>
    <row r="73" spans="1:15" s="41" customFormat="1" x14ac:dyDescent="0.25">
      <c r="A73" s="35" t="s">
        <v>136</v>
      </c>
      <c r="B73" s="36" t="s">
        <v>22</v>
      </c>
      <c r="C73" s="37">
        <v>15</v>
      </c>
      <c r="D73" s="37">
        <v>51</v>
      </c>
      <c r="E73" s="38">
        <v>59.86</v>
      </c>
      <c r="F73" s="43">
        <v>33</v>
      </c>
      <c r="G73" s="43">
        <v>2</v>
      </c>
      <c r="H73" s="42">
        <f t="shared" si="1"/>
        <v>24.799999999999997</v>
      </c>
      <c r="I73" s="39">
        <v>0</v>
      </c>
      <c r="J73" s="40" t="s">
        <v>10</v>
      </c>
      <c r="K73" s="40">
        <v>142</v>
      </c>
      <c r="L73" s="41" t="str">
        <f>LOOKUP(J73,[1]Survey_Info!A:A,[1]Survey_Info!G:G)</f>
        <v>ACCUM</v>
      </c>
      <c r="M73" s="41">
        <f>LOOKUP(J73,[1]Survey_Info!A:A,[1]Survey_Info!D:D)</f>
        <v>1200</v>
      </c>
      <c r="N73" s="41">
        <f>LOOKUP(J73,[1]Survey_Info!A:A, [1]Survey_Info!J:J)</f>
        <v>180</v>
      </c>
      <c r="O73" s="41">
        <v>0</v>
      </c>
    </row>
    <row r="74" spans="1:15" s="41" customFormat="1" x14ac:dyDescent="0.25">
      <c r="A74" s="35" t="s">
        <v>137</v>
      </c>
      <c r="B74" s="36" t="s">
        <v>22</v>
      </c>
      <c r="C74" s="37">
        <v>15</v>
      </c>
      <c r="D74" s="37">
        <v>51</v>
      </c>
      <c r="E74" s="38">
        <v>59.86</v>
      </c>
      <c r="F74" s="43">
        <v>33</v>
      </c>
      <c r="G74" s="43">
        <v>2</v>
      </c>
      <c r="H74" s="42">
        <f t="shared" si="1"/>
        <v>34.799999999999997</v>
      </c>
      <c r="I74" s="39">
        <v>0</v>
      </c>
      <c r="J74" s="40" t="s">
        <v>10</v>
      </c>
      <c r="K74" s="40">
        <v>144</v>
      </c>
      <c r="L74" s="41" t="str">
        <f>LOOKUP(J74,[1]Survey_Info!A:A,[1]Survey_Info!G:G)</f>
        <v>ACCUM</v>
      </c>
      <c r="M74" s="41">
        <f>LOOKUP(J74,[1]Survey_Info!A:A,[1]Survey_Info!D:D)</f>
        <v>1200</v>
      </c>
      <c r="N74" s="41">
        <f>LOOKUP(J74,[1]Survey_Info!A:A, [1]Survey_Info!J:J)</f>
        <v>180</v>
      </c>
      <c r="O74" s="41">
        <v>0</v>
      </c>
    </row>
    <row r="75" spans="1:15" s="41" customFormat="1" x14ac:dyDescent="0.25">
      <c r="A75" s="35" t="s">
        <v>138</v>
      </c>
      <c r="B75" s="36" t="s">
        <v>22</v>
      </c>
      <c r="C75" s="37">
        <v>15</v>
      </c>
      <c r="D75" s="37">
        <v>51</v>
      </c>
      <c r="E75" s="38">
        <v>59.86</v>
      </c>
      <c r="F75" s="43">
        <v>33</v>
      </c>
      <c r="G75" s="43">
        <v>2</v>
      </c>
      <c r="H75" s="42">
        <f t="shared" si="1"/>
        <v>44.8</v>
      </c>
      <c r="I75" s="39">
        <v>0</v>
      </c>
      <c r="J75" s="40" t="s">
        <v>10</v>
      </c>
      <c r="K75" s="40">
        <v>146</v>
      </c>
      <c r="L75" s="41" t="str">
        <f>LOOKUP(J75,[1]Survey_Info!A:A,[1]Survey_Info!G:G)</f>
        <v>ACCUM</v>
      </c>
      <c r="M75" s="41">
        <f>LOOKUP(J75,[1]Survey_Info!A:A,[1]Survey_Info!D:D)</f>
        <v>1200</v>
      </c>
      <c r="N75" s="41">
        <f>LOOKUP(J75,[1]Survey_Info!A:A, [1]Survey_Info!J:J)</f>
        <v>180</v>
      </c>
      <c r="O75" s="41">
        <v>0</v>
      </c>
    </row>
    <row r="76" spans="1:15" s="41" customFormat="1" x14ac:dyDescent="0.25">
      <c r="A76" s="35" t="s">
        <v>139</v>
      </c>
      <c r="B76" s="36" t="s">
        <v>22</v>
      </c>
      <c r="C76" s="37">
        <v>15</v>
      </c>
      <c r="D76" s="37">
        <v>51</v>
      </c>
      <c r="E76" s="38">
        <v>59.86</v>
      </c>
      <c r="F76" s="43">
        <v>33</v>
      </c>
      <c r="G76" s="43">
        <v>2</v>
      </c>
      <c r="H76" s="42">
        <f t="shared" si="1"/>
        <v>54.8</v>
      </c>
      <c r="I76" s="39">
        <v>0</v>
      </c>
      <c r="J76" s="40" t="s">
        <v>10</v>
      </c>
      <c r="K76" s="40">
        <v>148</v>
      </c>
      <c r="L76" s="41" t="str">
        <f>LOOKUP(J76,[1]Survey_Info!A:A,[1]Survey_Info!G:G)</f>
        <v>ACCUM</v>
      </c>
      <c r="M76" s="41">
        <f>LOOKUP(J76,[1]Survey_Info!A:A,[1]Survey_Info!D:D)</f>
        <v>1200</v>
      </c>
      <c r="N76" s="41">
        <f>LOOKUP(J76,[1]Survey_Info!A:A, [1]Survey_Info!J:J)</f>
        <v>180</v>
      </c>
      <c r="O76" s="41">
        <v>0</v>
      </c>
    </row>
    <row r="77" spans="1:15" s="41" customFormat="1" x14ac:dyDescent="0.25">
      <c r="A77" s="35" t="s">
        <v>140</v>
      </c>
      <c r="B77" s="36" t="s">
        <v>22</v>
      </c>
      <c r="C77" s="37">
        <v>15</v>
      </c>
      <c r="D77" s="37">
        <v>51</v>
      </c>
      <c r="E77" s="38">
        <v>59.86</v>
      </c>
      <c r="F77" s="43">
        <v>33</v>
      </c>
      <c r="G77" s="43">
        <v>3</v>
      </c>
      <c r="H77" s="42">
        <f t="shared" si="1"/>
        <v>4.7999999999999972</v>
      </c>
      <c r="I77" s="39">
        <v>0</v>
      </c>
      <c r="J77" s="40" t="s">
        <v>10</v>
      </c>
      <c r="K77" s="40">
        <v>150</v>
      </c>
      <c r="L77" s="41" t="str">
        <f>LOOKUP(J77,[1]Survey_Info!A:A,[1]Survey_Info!G:G)</f>
        <v>ACCUM</v>
      </c>
      <c r="M77" s="41">
        <f>LOOKUP(J77,[1]Survey_Info!A:A,[1]Survey_Info!D:D)</f>
        <v>1200</v>
      </c>
      <c r="N77" s="41">
        <f>LOOKUP(J77,[1]Survey_Info!A:A, [1]Survey_Info!J:J)</f>
        <v>180</v>
      </c>
      <c r="O77" s="41">
        <v>0</v>
      </c>
    </row>
    <row r="78" spans="1:15" s="41" customFormat="1" x14ac:dyDescent="0.25">
      <c r="A78" s="35" t="s">
        <v>141</v>
      </c>
      <c r="B78" s="36" t="s">
        <v>22</v>
      </c>
      <c r="C78" s="37">
        <v>15</v>
      </c>
      <c r="D78" s="37">
        <v>51</v>
      </c>
      <c r="E78" s="38">
        <v>59.86</v>
      </c>
      <c r="F78" s="43">
        <v>33</v>
      </c>
      <c r="G78" s="43">
        <v>4</v>
      </c>
      <c r="H78" s="42">
        <f t="shared" si="1"/>
        <v>14.799999999999997</v>
      </c>
      <c r="I78" s="39">
        <v>0</v>
      </c>
      <c r="J78" s="40" t="s">
        <v>10</v>
      </c>
      <c r="K78" s="40">
        <v>152</v>
      </c>
      <c r="L78" s="41" t="str">
        <f>LOOKUP(J78,[1]Survey_Info!A:A,[1]Survey_Info!G:G)</f>
        <v>ACCUM</v>
      </c>
      <c r="M78" s="41">
        <f>LOOKUP(J78,[1]Survey_Info!A:A,[1]Survey_Info!D:D)</f>
        <v>1200</v>
      </c>
      <c r="N78" s="41">
        <f>LOOKUP(J78,[1]Survey_Info!A:A, [1]Survey_Info!J:J)</f>
        <v>180</v>
      </c>
      <c r="O78" s="41">
        <v>0</v>
      </c>
    </row>
    <row r="79" spans="1:15" s="41" customFormat="1" x14ac:dyDescent="0.25">
      <c r="A79" s="35" t="s">
        <v>142</v>
      </c>
      <c r="B79" s="36" t="s">
        <v>22</v>
      </c>
      <c r="C79" s="37">
        <v>15</v>
      </c>
      <c r="D79" s="37">
        <v>51</v>
      </c>
      <c r="E79" s="38">
        <v>59.86</v>
      </c>
      <c r="F79" s="43">
        <v>33</v>
      </c>
      <c r="G79" s="43">
        <v>4</v>
      </c>
      <c r="H79" s="42">
        <f t="shared" si="1"/>
        <v>24.799999999999997</v>
      </c>
      <c r="I79" s="39">
        <v>0</v>
      </c>
      <c r="J79" s="40" t="s">
        <v>10</v>
      </c>
      <c r="K79" s="40">
        <v>154</v>
      </c>
      <c r="L79" s="41" t="str">
        <f>LOOKUP(J79,[1]Survey_Info!A:A,[1]Survey_Info!G:G)</f>
        <v>ACCUM</v>
      </c>
      <c r="M79" s="41">
        <f>LOOKUP(J79,[1]Survey_Info!A:A,[1]Survey_Info!D:D)</f>
        <v>1200</v>
      </c>
      <c r="N79" s="41">
        <f>LOOKUP(J79,[1]Survey_Info!A:A, [1]Survey_Info!J:J)</f>
        <v>180</v>
      </c>
      <c r="O79" s="41">
        <v>0</v>
      </c>
    </row>
    <row r="80" spans="1:15" s="41" customFormat="1" x14ac:dyDescent="0.25">
      <c r="A80" s="35" t="s">
        <v>143</v>
      </c>
      <c r="B80" s="36" t="s">
        <v>22</v>
      </c>
      <c r="C80" s="37">
        <v>15</v>
      </c>
      <c r="D80" s="37">
        <v>51</v>
      </c>
      <c r="E80" s="38">
        <v>59.86</v>
      </c>
      <c r="F80" s="43">
        <v>33</v>
      </c>
      <c r="G80" s="43">
        <v>4</v>
      </c>
      <c r="H80" s="42">
        <f t="shared" si="1"/>
        <v>34.799999999999997</v>
      </c>
      <c r="I80" s="39">
        <v>0</v>
      </c>
      <c r="J80" s="40" t="s">
        <v>10</v>
      </c>
      <c r="K80" s="40">
        <v>156</v>
      </c>
      <c r="L80" s="41" t="str">
        <f>LOOKUP(J80,[1]Survey_Info!A:A,[1]Survey_Info!G:G)</f>
        <v>ACCUM</v>
      </c>
      <c r="M80" s="41">
        <f>LOOKUP(J80,[1]Survey_Info!A:A,[1]Survey_Info!D:D)</f>
        <v>1200</v>
      </c>
      <c r="N80" s="41">
        <f>LOOKUP(J80,[1]Survey_Info!A:A, [1]Survey_Info!J:J)</f>
        <v>180</v>
      </c>
      <c r="O80" s="41">
        <v>0</v>
      </c>
    </row>
    <row r="81" spans="1:15" s="41" customFormat="1" x14ac:dyDescent="0.25">
      <c r="A81" s="35" t="s">
        <v>144</v>
      </c>
      <c r="B81" s="36" t="s">
        <v>22</v>
      </c>
      <c r="C81" s="37">
        <v>15</v>
      </c>
      <c r="D81" s="37">
        <v>51</v>
      </c>
      <c r="E81" s="38">
        <v>59.86</v>
      </c>
      <c r="F81" s="43">
        <v>33</v>
      </c>
      <c r="G81" s="43">
        <v>4</v>
      </c>
      <c r="H81" s="42">
        <f t="shared" si="1"/>
        <v>44.8</v>
      </c>
      <c r="I81" s="39">
        <v>0</v>
      </c>
      <c r="J81" s="40" t="s">
        <v>10</v>
      </c>
      <c r="K81" s="40">
        <v>158</v>
      </c>
      <c r="L81" s="41" t="str">
        <f>LOOKUP(J81,[1]Survey_Info!A:A,[1]Survey_Info!G:G)</f>
        <v>ACCUM</v>
      </c>
      <c r="M81" s="41">
        <f>LOOKUP(J81,[1]Survey_Info!A:A,[1]Survey_Info!D:D)</f>
        <v>1200</v>
      </c>
      <c r="N81" s="41">
        <f>LOOKUP(J81,[1]Survey_Info!A:A, [1]Survey_Info!J:J)</f>
        <v>180</v>
      </c>
      <c r="O81" s="41">
        <v>0</v>
      </c>
    </row>
    <row r="82" spans="1:15" s="41" customFormat="1" x14ac:dyDescent="0.25">
      <c r="A82" s="35" t="s">
        <v>145</v>
      </c>
      <c r="B82" s="36" t="s">
        <v>22</v>
      </c>
      <c r="C82" s="37">
        <v>15</v>
      </c>
      <c r="D82" s="37">
        <v>51</v>
      </c>
      <c r="E82" s="38">
        <v>59.86</v>
      </c>
      <c r="F82" s="43">
        <v>33</v>
      </c>
      <c r="G82" s="43">
        <v>4</v>
      </c>
      <c r="H82" s="42">
        <f t="shared" si="1"/>
        <v>54.8</v>
      </c>
      <c r="I82" s="39">
        <v>0</v>
      </c>
      <c r="J82" s="40" t="s">
        <v>10</v>
      </c>
      <c r="K82" s="40">
        <v>160</v>
      </c>
      <c r="L82" s="41" t="str">
        <f>LOOKUP(J82,[1]Survey_Info!A:A,[1]Survey_Info!G:G)</f>
        <v>ACCUM</v>
      </c>
      <c r="M82" s="41">
        <f>LOOKUP(J82,[1]Survey_Info!A:A,[1]Survey_Info!D:D)</f>
        <v>1200</v>
      </c>
      <c r="N82" s="41">
        <f>LOOKUP(J82,[1]Survey_Info!A:A, [1]Survey_Info!J:J)</f>
        <v>180</v>
      </c>
      <c r="O82" s="41">
        <v>0</v>
      </c>
    </row>
    <row r="83" spans="1:15" s="41" customFormat="1" x14ac:dyDescent="0.25">
      <c r="A83" s="35" t="s">
        <v>146</v>
      </c>
      <c r="B83" s="36" t="s">
        <v>22</v>
      </c>
      <c r="C83" s="37">
        <v>15</v>
      </c>
      <c r="D83" s="37">
        <v>51</v>
      </c>
      <c r="E83" s="38">
        <v>59.86</v>
      </c>
      <c r="F83" s="43">
        <v>33</v>
      </c>
      <c r="G83" s="43">
        <v>5</v>
      </c>
      <c r="H83" s="42">
        <f t="shared" si="1"/>
        <v>4.7999999999999972</v>
      </c>
      <c r="I83" s="39">
        <v>0</v>
      </c>
      <c r="J83" s="40" t="s">
        <v>10</v>
      </c>
      <c r="K83" s="40">
        <v>162</v>
      </c>
      <c r="L83" s="41" t="str">
        <f>LOOKUP(J83,[1]Survey_Info!A:A,[1]Survey_Info!G:G)</f>
        <v>ACCUM</v>
      </c>
      <c r="M83" s="41">
        <f>LOOKUP(J83,[1]Survey_Info!A:A,[1]Survey_Info!D:D)</f>
        <v>1200</v>
      </c>
      <c r="N83" s="41">
        <f>LOOKUP(J83,[1]Survey_Info!A:A, [1]Survey_Info!J:J)</f>
        <v>180</v>
      </c>
      <c r="O83" s="41">
        <v>0</v>
      </c>
    </row>
    <row r="84" spans="1:15" s="41" customFormat="1" x14ac:dyDescent="0.25">
      <c r="A84" s="35" t="s">
        <v>147</v>
      </c>
      <c r="B84" s="36" t="s">
        <v>22</v>
      </c>
      <c r="C84" s="37">
        <v>15</v>
      </c>
      <c r="D84" s="37">
        <v>51</v>
      </c>
      <c r="E84" s="38">
        <v>59.86</v>
      </c>
      <c r="F84" s="43">
        <v>33</v>
      </c>
      <c r="G84" s="43">
        <v>5</v>
      </c>
      <c r="H84" s="42">
        <f t="shared" si="1"/>
        <v>14.799999999999997</v>
      </c>
      <c r="I84" s="39">
        <v>0</v>
      </c>
      <c r="J84" s="40" t="s">
        <v>10</v>
      </c>
      <c r="K84" s="40">
        <v>164</v>
      </c>
      <c r="L84" s="41" t="str">
        <f>LOOKUP(J84,[1]Survey_Info!A:A,[1]Survey_Info!G:G)</f>
        <v>ACCUM</v>
      </c>
      <c r="M84" s="41">
        <f>LOOKUP(J84,[1]Survey_Info!A:A,[1]Survey_Info!D:D)</f>
        <v>1200</v>
      </c>
      <c r="N84" s="41">
        <f>LOOKUP(J84,[1]Survey_Info!A:A, [1]Survey_Info!J:J)</f>
        <v>180</v>
      </c>
      <c r="O84" s="41">
        <v>0</v>
      </c>
    </row>
    <row r="85" spans="1:15" s="41" customFormat="1" x14ac:dyDescent="0.25">
      <c r="A85" s="35" t="s">
        <v>148</v>
      </c>
      <c r="B85" s="36" t="s">
        <v>22</v>
      </c>
      <c r="C85" s="37">
        <v>15</v>
      </c>
      <c r="D85" s="37">
        <v>51</v>
      </c>
      <c r="E85" s="38">
        <v>59.86</v>
      </c>
      <c r="F85" s="43">
        <v>33</v>
      </c>
      <c r="G85" s="43">
        <v>5</v>
      </c>
      <c r="H85" s="42">
        <f t="shared" si="1"/>
        <v>24.799999999999997</v>
      </c>
      <c r="I85" s="39">
        <v>0</v>
      </c>
      <c r="J85" s="40" t="s">
        <v>10</v>
      </c>
      <c r="K85" s="40">
        <v>166</v>
      </c>
      <c r="L85" s="41" t="str">
        <f>LOOKUP(J85,[1]Survey_Info!A:A,[1]Survey_Info!G:G)</f>
        <v>ACCUM</v>
      </c>
      <c r="M85" s="41">
        <f>LOOKUP(J85,[1]Survey_Info!A:A,[1]Survey_Info!D:D)</f>
        <v>1200</v>
      </c>
      <c r="N85" s="41">
        <f>LOOKUP(J85,[1]Survey_Info!A:A, [1]Survey_Info!J:J)</f>
        <v>180</v>
      </c>
      <c r="O85" s="41">
        <v>0</v>
      </c>
    </row>
    <row r="86" spans="1:15" s="41" customFormat="1" x14ac:dyDescent="0.25">
      <c r="A86" s="35" t="s">
        <v>149</v>
      </c>
      <c r="B86" s="36" t="s">
        <v>22</v>
      </c>
      <c r="C86" s="37">
        <v>15</v>
      </c>
      <c r="D86" s="37">
        <v>51</v>
      </c>
      <c r="E86" s="38">
        <v>59.86</v>
      </c>
      <c r="F86" s="43">
        <v>33</v>
      </c>
      <c r="G86" s="43">
        <v>5</v>
      </c>
      <c r="H86" s="42">
        <f t="shared" si="1"/>
        <v>34.799999999999997</v>
      </c>
      <c r="I86" s="39">
        <v>0</v>
      </c>
      <c r="J86" s="40" t="s">
        <v>10</v>
      </c>
      <c r="K86" s="40">
        <v>168</v>
      </c>
      <c r="L86" s="41" t="str">
        <f>LOOKUP(J86,[1]Survey_Info!A:A,[1]Survey_Info!G:G)</f>
        <v>ACCUM</v>
      </c>
      <c r="M86" s="41">
        <f>LOOKUP(J86,[1]Survey_Info!A:A,[1]Survey_Info!D:D)</f>
        <v>1200</v>
      </c>
      <c r="N86" s="41">
        <f>LOOKUP(J86,[1]Survey_Info!A:A, [1]Survey_Info!J:J)</f>
        <v>180</v>
      </c>
      <c r="O86" s="41">
        <v>0</v>
      </c>
    </row>
    <row r="87" spans="1:15" s="41" customFormat="1" x14ac:dyDescent="0.25">
      <c r="A87" s="35" t="s">
        <v>150</v>
      </c>
      <c r="B87" s="36" t="s">
        <v>22</v>
      </c>
      <c r="C87" s="37">
        <v>15</v>
      </c>
      <c r="D87" s="37">
        <v>51</v>
      </c>
      <c r="E87" s="38">
        <v>59.86</v>
      </c>
      <c r="F87" s="43">
        <v>33</v>
      </c>
      <c r="G87" s="43">
        <v>5</v>
      </c>
      <c r="H87" s="42">
        <f t="shared" si="1"/>
        <v>44.8</v>
      </c>
      <c r="I87" s="39">
        <v>0</v>
      </c>
      <c r="J87" s="40" t="s">
        <v>10</v>
      </c>
      <c r="K87" s="40">
        <v>170</v>
      </c>
      <c r="L87" s="41" t="str">
        <f>LOOKUP(J87,[1]Survey_Info!A:A,[1]Survey_Info!G:G)</f>
        <v>ACCUM</v>
      </c>
      <c r="M87" s="41">
        <f>LOOKUP(J87,[1]Survey_Info!A:A,[1]Survey_Info!D:D)</f>
        <v>1200</v>
      </c>
      <c r="N87" s="41">
        <f>LOOKUP(J87,[1]Survey_Info!A:A, [1]Survey_Info!J:J)</f>
        <v>180</v>
      </c>
      <c r="O87" s="41">
        <v>0</v>
      </c>
    </row>
    <row r="88" spans="1:15" s="41" customFormat="1" x14ac:dyDescent="0.25">
      <c r="A88" s="35" t="s">
        <v>151</v>
      </c>
      <c r="B88" s="36" t="s">
        <v>22</v>
      </c>
      <c r="C88" s="37">
        <v>15</v>
      </c>
      <c r="D88" s="37">
        <v>51</v>
      </c>
      <c r="E88" s="38">
        <v>59.86</v>
      </c>
      <c r="F88" s="43">
        <v>33</v>
      </c>
      <c r="G88" s="43">
        <v>5</v>
      </c>
      <c r="H88" s="42">
        <f t="shared" si="1"/>
        <v>54.8</v>
      </c>
      <c r="I88" s="39">
        <v>0</v>
      </c>
      <c r="J88" s="40" t="s">
        <v>10</v>
      </c>
      <c r="K88" s="40">
        <v>172</v>
      </c>
      <c r="L88" s="41" t="str">
        <f>LOOKUP(J88,[1]Survey_Info!A:A,[1]Survey_Info!G:G)</f>
        <v>ACCUM</v>
      </c>
      <c r="M88" s="41">
        <f>LOOKUP(J88,[1]Survey_Info!A:A,[1]Survey_Info!D:D)</f>
        <v>1200</v>
      </c>
      <c r="N88" s="41">
        <f>LOOKUP(J88,[1]Survey_Info!A:A, [1]Survey_Info!J:J)</f>
        <v>180</v>
      </c>
      <c r="O88" s="41">
        <v>0</v>
      </c>
    </row>
    <row r="89" spans="1:15" s="41" customFormat="1" x14ac:dyDescent="0.25">
      <c r="A89" s="35" t="s">
        <v>152</v>
      </c>
      <c r="B89" s="36" t="s">
        <v>22</v>
      </c>
      <c r="C89" s="37">
        <v>15</v>
      </c>
      <c r="D89" s="37">
        <v>51</v>
      </c>
      <c r="E89" s="38">
        <v>59.86</v>
      </c>
      <c r="F89" s="43">
        <v>33</v>
      </c>
      <c r="G89" s="43">
        <v>6</v>
      </c>
      <c r="H89" s="42">
        <f t="shared" si="1"/>
        <v>4.7999999999999972</v>
      </c>
      <c r="I89" s="39">
        <v>0</v>
      </c>
      <c r="J89" s="40" t="s">
        <v>10</v>
      </c>
      <c r="K89" s="40">
        <v>174</v>
      </c>
      <c r="L89" s="41" t="str">
        <f>LOOKUP(J89,[1]Survey_Info!A:A,[1]Survey_Info!G:G)</f>
        <v>ACCUM</v>
      </c>
      <c r="M89" s="41">
        <f>LOOKUP(J89,[1]Survey_Info!A:A,[1]Survey_Info!D:D)</f>
        <v>1200</v>
      </c>
      <c r="N89" s="41">
        <f>LOOKUP(J89,[1]Survey_Info!A:A, [1]Survey_Info!J:J)</f>
        <v>180</v>
      </c>
      <c r="O89" s="41">
        <v>0</v>
      </c>
    </row>
    <row r="90" spans="1:15" s="41" customFormat="1" x14ac:dyDescent="0.25">
      <c r="A90" s="35" t="s">
        <v>153</v>
      </c>
      <c r="B90" s="36" t="s">
        <v>22</v>
      </c>
      <c r="C90" s="37">
        <v>15</v>
      </c>
      <c r="D90" s="37">
        <v>51</v>
      </c>
      <c r="E90" s="38">
        <v>59.86</v>
      </c>
      <c r="F90" s="43">
        <v>33</v>
      </c>
      <c r="G90" s="43">
        <v>6</v>
      </c>
      <c r="H90" s="42">
        <f t="shared" si="1"/>
        <v>14.799999999999997</v>
      </c>
      <c r="I90" s="39">
        <v>0</v>
      </c>
      <c r="J90" s="40" t="s">
        <v>10</v>
      </c>
      <c r="K90" s="40">
        <v>176</v>
      </c>
      <c r="L90" s="41" t="str">
        <f>LOOKUP(J90,[1]Survey_Info!A:A,[1]Survey_Info!G:G)</f>
        <v>ACCUM</v>
      </c>
      <c r="M90" s="41">
        <f>LOOKUP(J90,[1]Survey_Info!A:A,[1]Survey_Info!D:D)</f>
        <v>1200</v>
      </c>
      <c r="N90" s="41">
        <f>LOOKUP(J90,[1]Survey_Info!A:A, [1]Survey_Info!J:J)</f>
        <v>180</v>
      </c>
      <c r="O90" s="41">
        <v>0</v>
      </c>
    </row>
    <row r="91" spans="1:15" s="41" customFormat="1" x14ac:dyDescent="0.25">
      <c r="A91" s="35" t="s">
        <v>154</v>
      </c>
      <c r="B91" s="36" t="s">
        <v>22</v>
      </c>
      <c r="C91" s="37">
        <v>15</v>
      </c>
      <c r="D91" s="37">
        <v>51</v>
      </c>
      <c r="E91" s="38">
        <v>59.86</v>
      </c>
      <c r="F91" s="43">
        <v>33</v>
      </c>
      <c r="G91" s="43">
        <v>6</v>
      </c>
      <c r="H91" s="42">
        <f t="shared" si="1"/>
        <v>24.799999999999997</v>
      </c>
      <c r="I91" s="39">
        <v>0</v>
      </c>
      <c r="J91" s="40" t="s">
        <v>10</v>
      </c>
      <c r="K91" s="40">
        <v>178</v>
      </c>
      <c r="L91" s="41" t="str">
        <f>LOOKUP(J91,[1]Survey_Info!A:A,[1]Survey_Info!G:G)</f>
        <v>ACCUM</v>
      </c>
      <c r="M91" s="41">
        <f>LOOKUP(J91,[1]Survey_Info!A:A,[1]Survey_Info!D:D)</f>
        <v>1200</v>
      </c>
      <c r="N91" s="41">
        <f>LOOKUP(J91,[1]Survey_Info!A:A, [1]Survey_Info!J:J)</f>
        <v>180</v>
      </c>
      <c r="O91" s="41">
        <v>0</v>
      </c>
    </row>
    <row r="92" spans="1:15" s="56" customFormat="1" x14ac:dyDescent="0.25">
      <c r="A92" s="48" t="s">
        <v>158</v>
      </c>
      <c r="B92" s="49" t="s">
        <v>22</v>
      </c>
      <c r="C92" s="50">
        <v>16</v>
      </c>
      <c r="D92" s="50">
        <v>16</v>
      </c>
      <c r="E92" s="51">
        <v>59.86</v>
      </c>
      <c r="F92" s="52">
        <v>32</v>
      </c>
      <c r="G92" s="52">
        <v>49</v>
      </c>
      <c r="H92" s="53">
        <f t="shared" ref="H92:H135" si="2">IF(H93-10&lt;0, 60-(10-H93), H93-10)</f>
        <v>34.799999999999997</v>
      </c>
      <c r="I92" s="54">
        <v>0</v>
      </c>
      <c r="J92" s="55" t="s">
        <v>10</v>
      </c>
      <c r="K92" s="55">
        <v>268</v>
      </c>
      <c r="L92" s="56" t="str">
        <f>LOOKUP(J92,[1]Survey_Info!A:A,[1]Survey_Info!G:G)</f>
        <v>ACCUM</v>
      </c>
      <c r="M92" s="56">
        <f>LOOKUP(J92,[1]Survey_Info!A:A,[1]Survey_Info!D:D)</f>
        <v>1200</v>
      </c>
      <c r="N92" s="56">
        <f>LOOKUP(J92,[1]Survey_Info!A:A, [1]Survey_Info!J:J)</f>
        <v>180</v>
      </c>
      <c r="O92" s="56">
        <v>0</v>
      </c>
    </row>
    <row r="93" spans="1:15" s="56" customFormat="1" x14ac:dyDescent="0.25">
      <c r="A93" s="48" t="s">
        <v>159</v>
      </c>
      <c r="B93" s="49" t="s">
        <v>22</v>
      </c>
      <c r="C93" s="50">
        <v>16</v>
      </c>
      <c r="D93" s="50">
        <v>16</v>
      </c>
      <c r="E93" s="51">
        <v>59.86</v>
      </c>
      <c r="F93" s="52">
        <v>32</v>
      </c>
      <c r="G93" s="52">
        <v>49</v>
      </c>
      <c r="H93" s="53">
        <f t="shared" si="2"/>
        <v>44.8</v>
      </c>
      <c r="I93" s="54">
        <v>0</v>
      </c>
      <c r="J93" s="55" t="s">
        <v>10</v>
      </c>
      <c r="K93" s="55">
        <v>266</v>
      </c>
      <c r="L93" s="56" t="str">
        <f>LOOKUP(J93,[1]Survey_Info!A:A,[1]Survey_Info!G:G)</f>
        <v>ACCUM</v>
      </c>
      <c r="M93" s="56">
        <f>LOOKUP(J93,[1]Survey_Info!A:A,[1]Survey_Info!D:D)</f>
        <v>1200</v>
      </c>
      <c r="N93" s="56">
        <f>LOOKUP(J93,[1]Survey_Info!A:A, [1]Survey_Info!J:J)</f>
        <v>180</v>
      </c>
      <c r="O93" s="56">
        <v>0</v>
      </c>
    </row>
    <row r="94" spans="1:15" s="56" customFormat="1" x14ac:dyDescent="0.25">
      <c r="A94" s="48" t="s">
        <v>160</v>
      </c>
      <c r="B94" s="49" t="s">
        <v>22</v>
      </c>
      <c r="C94" s="50">
        <v>16</v>
      </c>
      <c r="D94" s="50">
        <v>16</v>
      </c>
      <c r="E94" s="51">
        <v>59.86</v>
      </c>
      <c r="F94" s="52">
        <v>32</v>
      </c>
      <c r="G94" s="52">
        <v>49</v>
      </c>
      <c r="H94" s="53">
        <f t="shared" si="2"/>
        <v>54.8</v>
      </c>
      <c r="I94" s="54">
        <v>0</v>
      </c>
      <c r="J94" s="55" t="s">
        <v>10</v>
      </c>
      <c r="K94" s="55">
        <v>264</v>
      </c>
      <c r="L94" s="56" t="str">
        <f>LOOKUP(J94,[1]Survey_Info!A:A,[1]Survey_Info!G:G)</f>
        <v>ACCUM</v>
      </c>
      <c r="M94" s="56">
        <f>LOOKUP(J94,[1]Survey_Info!A:A,[1]Survey_Info!D:D)</f>
        <v>1200</v>
      </c>
      <c r="N94" s="56">
        <f>LOOKUP(J94,[1]Survey_Info!A:A, [1]Survey_Info!J:J)</f>
        <v>180</v>
      </c>
      <c r="O94" s="56">
        <v>0</v>
      </c>
    </row>
    <row r="95" spans="1:15" s="56" customFormat="1" x14ac:dyDescent="0.25">
      <c r="A95" s="48" t="s">
        <v>161</v>
      </c>
      <c r="B95" s="49" t="s">
        <v>22</v>
      </c>
      <c r="C95" s="50">
        <v>16</v>
      </c>
      <c r="D95" s="50">
        <v>16</v>
      </c>
      <c r="E95" s="51">
        <v>59.86</v>
      </c>
      <c r="F95" s="52">
        <v>32</v>
      </c>
      <c r="G95" s="52">
        <v>50</v>
      </c>
      <c r="H95" s="53">
        <f t="shared" si="2"/>
        <v>4.7999999999999972</v>
      </c>
      <c r="I95" s="54">
        <v>0</v>
      </c>
      <c r="J95" s="55" t="s">
        <v>10</v>
      </c>
      <c r="K95" s="55">
        <v>262</v>
      </c>
      <c r="L95" s="56" t="str">
        <f>LOOKUP(J95,[1]Survey_Info!A:A,[1]Survey_Info!G:G)</f>
        <v>ACCUM</v>
      </c>
      <c r="M95" s="56">
        <f>LOOKUP(J95,[1]Survey_Info!A:A,[1]Survey_Info!D:D)</f>
        <v>1200</v>
      </c>
      <c r="N95" s="56">
        <f>LOOKUP(J95,[1]Survey_Info!A:A, [1]Survey_Info!J:J)</f>
        <v>180</v>
      </c>
      <c r="O95" s="56">
        <v>0</v>
      </c>
    </row>
    <row r="96" spans="1:15" s="56" customFormat="1" x14ac:dyDescent="0.25">
      <c r="A96" s="48" t="s">
        <v>162</v>
      </c>
      <c r="B96" s="49" t="s">
        <v>22</v>
      </c>
      <c r="C96" s="50">
        <v>16</v>
      </c>
      <c r="D96" s="50">
        <v>16</v>
      </c>
      <c r="E96" s="51">
        <v>59.86</v>
      </c>
      <c r="F96" s="52">
        <v>32</v>
      </c>
      <c r="G96" s="52">
        <v>50</v>
      </c>
      <c r="H96" s="53">
        <f t="shared" si="2"/>
        <v>14.799999999999997</v>
      </c>
      <c r="I96" s="54">
        <v>0</v>
      </c>
      <c r="J96" s="55" t="s">
        <v>10</v>
      </c>
      <c r="K96" s="55">
        <v>260</v>
      </c>
      <c r="L96" s="56" t="str">
        <f>LOOKUP(J96,[1]Survey_Info!A:A,[1]Survey_Info!G:G)</f>
        <v>ACCUM</v>
      </c>
      <c r="M96" s="56">
        <f>LOOKUP(J96,[1]Survey_Info!A:A,[1]Survey_Info!D:D)</f>
        <v>1200</v>
      </c>
      <c r="N96" s="56">
        <f>LOOKUP(J96,[1]Survey_Info!A:A, [1]Survey_Info!J:J)</f>
        <v>180</v>
      </c>
      <c r="O96" s="56">
        <v>0</v>
      </c>
    </row>
    <row r="97" spans="1:15" s="56" customFormat="1" x14ac:dyDescent="0.25">
      <c r="A97" s="48" t="s">
        <v>163</v>
      </c>
      <c r="B97" s="49" t="s">
        <v>22</v>
      </c>
      <c r="C97" s="50">
        <v>16</v>
      </c>
      <c r="D97" s="50">
        <v>16</v>
      </c>
      <c r="E97" s="51">
        <v>59.86</v>
      </c>
      <c r="F97" s="52">
        <v>32</v>
      </c>
      <c r="G97" s="52">
        <v>50</v>
      </c>
      <c r="H97" s="53">
        <f t="shared" si="2"/>
        <v>24.799999999999997</v>
      </c>
      <c r="I97" s="54">
        <v>0</v>
      </c>
      <c r="J97" s="55" t="s">
        <v>10</v>
      </c>
      <c r="K97" s="55">
        <v>258</v>
      </c>
      <c r="L97" s="56" t="str">
        <f>LOOKUP(J97,[1]Survey_Info!A:A,[1]Survey_Info!G:G)</f>
        <v>ACCUM</v>
      </c>
      <c r="M97" s="56">
        <f>LOOKUP(J97,[1]Survey_Info!A:A,[1]Survey_Info!D:D)</f>
        <v>1200</v>
      </c>
      <c r="N97" s="56">
        <f>LOOKUP(J97,[1]Survey_Info!A:A, [1]Survey_Info!J:J)</f>
        <v>180</v>
      </c>
      <c r="O97" s="56">
        <v>0</v>
      </c>
    </row>
    <row r="98" spans="1:15" s="56" customFormat="1" x14ac:dyDescent="0.25">
      <c r="A98" s="48" t="s">
        <v>164</v>
      </c>
      <c r="B98" s="49" t="s">
        <v>22</v>
      </c>
      <c r="C98" s="50">
        <v>16</v>
      </c>
      <c r="D98" s="50">
        <v>16</v>
      </c>
      <c r="E98" s="51">
        <v>59.86</v>
      </c>
      <c r="F98" s="52">
        <v>32</v>
      </c>
      <c r="G98" s="52">
        <v>50</v>
      </c>
      <c r="H98" s="53">
        <f t="shared" si="2"/>
        <v>34.799999999999997</v>
      </c>
      <c r="I98" s="54">
        <v>0</v>
      </c>
      <c r="J98" s="55" t="s">
        <v>10</v>
      </c>
      <c r="K98" s="55">
        <v>256</v>
      </c>
      <c r="L98" s="56" t="str">
        <f>LOOKUP(J98,[1]Survey_Info!A:A,[1]Survey_Info!G:G)</f>
        <v>ACCUM</v>
      </c>
      <c r="M98" s="56">
        <f>LOOKUP(J98,[1]Survey_Info!A:A,[1]Survey_Info!D:D)</f>
        <v>1200</v>
      </c>
      <c r="N98" s="56">
        <f>LOOKUP(J98,[1]Survey_Info!A:A, [1]Survey_Info!J:J)</f>
        <v>180</v>
      </c>
      <c r="O98" s="56">
        <v>0</v>
      </c>
    </row>
    <row r="99" spans="1:15" s="56" customFormat="1" x14ac:dyDescent="0.25">
      <c r="A99" s="48" t="s">
        <v>165</v>
      </c>
      <c r="B99" s="49" t="s">
        <v>22</v>
      </c>
      <c r="C99" s="50">
        <v>16</v>
      </c>
      <c r="D99" s="50">
        <v>16</v>
      </c>
      <c r="E99" s="51">
        <v>59.86</v>
      </c>
      <c r="F99" s="52">
        <v>32</v>
      </c>
      <c r="G99" s="52">
        <v>50</v>
      </c>
      <c r="H99" s="53">
        <f t="shared" si="2"/>
        <v>44.8</v>
      </c>
      <c r="I99" s="54">
        <v>0</v>
      </c>
      <c r="J99" s="55" t="s">
        <v>10</v>
      </c>
      <c r="K99" s="55">
        <v>254</v>
      </c>
      <c r="L99" s="56" t="str">
        <f>LOOKUP(J99,[1]Survey_Info!A:A,[1]Survey_Info!G:G)</f>
        <v>ACCUM</v>
      </c>
      <c r="M99" s="56">
        <f>LOOKUP(J99,[1]Survey_Info!A:A,[1]Survey_Info!D:D)</f>
        <v>1200</v>
      </c>
      <c r="N99" s="56">
        <f>LOOKUP(J99,[1]Survey_Info!A:A, [1]Survey_Info!J:J)</f>
        <v>180</v>
      </c>
      <c r="O99" s="56">
        <v>0</v>
      </c>
    </row>
    <row r="100" spans="1:15" s="56" customFormat="1" x14ac:dyDescent="0.25">
      <c r="A100" s="48" t="s">
        <v>166</v>
      </c>
      <c r="B100" s="49" t="s">
        <v>22</v>
      </c>
      <c r="C100" s="50">
        <v>16</v>
      </c>
      <c r="D100" s="50">
        <v>16</v>
      </c>
      <c r="E100" s="51">
        <v>59.86</v>
      </c>
      <c r="F100" s="52">
        <v>32</v>
      </c>
      <c r="G100" s="52">
        <v>50</v>
      </c>
      <c r="H100" s="53">
        <f t="shared" si="2"/>
        <v>54.8</v>
      </c>
      <c r="I100" s="54">
        <v>0</v>
      </c>
      <c r="J100" s="55" t="s">
        <v>10</v>
      </c>
      <c r="K100" s="55">
        <v>252</v>
      </c>
      <c r="L100" s="56" t="str">
        <f>LOOKUP(J100,[1]Survey_Info!A:A,[1]Survey_Info!G:G)</f>
        <v>ACCUM</v>
      </c>
      <c r="M100" s="56">
        <f>LOOKUP(J100,[1]Survey_Info!A:A,[1]Survey_Info!D:D)</f>
        <v>1200</v>
      </c>
      <c r="N100" s="56">
        <f>LOOKUP(J100,[1]Survey_Info!A:A, [1]Survey_Info!J:J)</f>
        <v>180</v>
      </c>
      <c r="O100" s="56">
        <v>0</v>
      </c>
    </row>
    <row r="101" spans="1:15" s="56" customFormat="1" x14ac:dyDescent="0.25">
      <c r="A101" s="48" t="s">
        <v>167</v>
      </c>
      <c r="B101" s="49" t="s">
        <v>22</v>
      </c>
      <c r="C101" s="50">
        <v>16</v>
      </c>
      <c r="D101" s="50">
        <v>16</v>
      </c>
      <c r="E101" s="51">
        <v>59.86</v>
      </c>
      <c r="F101" s="52">
        <v>32</v>
      </c>
      <c r="G101" s="52">
        <v>51</v>
      </c>
      <c r="H101" s="53">
        <f t="shared" si="2"/>
        <v>4.7999999999999972</v>
      </c>
      <c r="I101" s="54">
        <v>0</v>
      </c>
      <c r="J101" s="55" t="s">
        <v>10</v>
      </c>
      <c r="K101" s="55">
        <v>250</v>
      </c>
      <c r="L101" s="56" t="str">
        <f>LOOKUP(J101,[1]Survey_Info!A:A,[1]Survey_Info!G:G)</f>
        <v>ACCUM</v>
      </c>
      <c r="M101" s="56">
        <f>LOOKUP(J101,[1]Survey_Info!A:A,[1]Survey_Info!D:D)</f>
        <v>1200</v>
      </c>
      <c r="N101" s="56">
        <f>LOOKUP(J101,[1]Survey_Info!A:A, [1]Survey_Info!J:J)</f>
        <v>180</v>
      </c>
      <c r="O101" s="56">
        <v>0</v>
      </c>
    </row>
    <row r="102" spans="1:15" s="56" customFormat="1" x14ac:dyDescent="0.25">
      <c r="A102" s="48" t="s">
        <v>168</v>
      </c>
      <c r="B102" s="49" t="s">
        <v>22</v>
      </c>
      <c r="C102" s="50">
        <v>16</v>
      </c>
      <c r="D102" s="50">
        <v>16</v>
      </c>
      <c r="E102" s="51">
        <v>59.86</v>
      </c>
      <c r="F102" s="52">
        <v>32</v>
      </c>
      <c r="G102" s="52">
        <v>51</v>
      </c>
      <c r="H102" s="53">
        <f t="shared" si="2"/>
        <v>14.799999999999997</v>
      </c>
      <c r="I102" s="54">
        <v>0</v>
      </c>
      <c r="J102" s="55" t="s">
        <v>10</v>
      </c>
      <c r="K102" s="55">
        <v>248</v>
      </c>
      <c r="L102" s="56" t="str">
        <f>LOOKUP(J102,[1]Survey_Info!A:A,[1]Survey_Info!G:G)</f>
        <v>ACCUM</v>
      </c>
      <c r="M102" s="56">
        <f>LOOKUP(J102,[1]Survey_Info!A:A,[1]Survey_Info!D:D)</f>
        <v>1200</v>
      </c>
      <c r="N102" s="56">
        <f>LOOKUP(J102,[1]Survey_Info!A:A, [1]Survey_Info!J:J)</f>
        <v>180</v>
      </c>
      <c r="O102" s="56">
        <v>0</v>
      </c>
    </row>
    <row r="103" spans="1:15" s="56" customFormat="1" x14ac:dyDescent="0.25">
      <c r="A103" s="48" t="s">
        <v>169</v>
      </c>
      <c r="B103" s="49" t="s">
        <v>22</v>
      </c>
      <c r="C103" s="50">
        <v>16</v>
      </c>
      <c r="D103" s="50">
        <v>16</v>
      </c>
      <c r="E103" s="51">
        <v>59.86</v>
      </c>
      <c r="F103" s="52">
        <v>32</v>
      </c>
      <c r="G103" s="52">
        <v>51</v>
      </c>
      <c r="H103" s="53">
        <f t="shared" si="2"/>
        <v>24.799999999999997</v>
      </c>
      <c r="I103" s="54">
        <v>0</v>
      </c>
      <c r="J103" s="55" t="s">
        <v>10</v>
      </c>
      <c r="K103" s="55">
        <v>246</v>
      </c>
      <c r="L103" s="56" t="str">
        <f>LOOKUP(J103,[1]Survey_Info!A:A,[1]Survey_Info!G:G)</f>
        <v>ACCUM</v>
      </c>
      <c r="M103" s="56">
        <f>LOOKUP(J103,[1]Survey_Info!A:A,[1]Survey_Info!D:D)</f>
        <v>1200</v>
      </c>
      <c r="N103" s="56">
        <f>LOOKUP(J103,[1]Survey_Info!A:A, [1]Survey_Info!J:J)</f>
        <v>180</v>
      </c>
      <c r="O103" s="56">
        <v>0</v>
      </c>
    </row>
    <row r="104" spans="1:15" s="56" customFormat="1" x14ac:dyDescent="0.25">
      <c r="A104" s="48" t="s">
        <v>170</v>
      </c>
      <c r="B104" s="49" t="s">
        <v>22</v>
      </c>
      <c r="C104" s="50">
        <v>16</v>
      </c>
      <c r="D104" s="50">
        <v>16</v>
      </c>
      <c r="E104" s="51">
        <v>59.86</v>
      </c>
      <c r="F104" s="52">
        <v>32</v>
      </c>
      <c r="G104" s="52">
        <v>51</v>
      </c>
      <c r="H104" s="53">
        <f t="shared" si="2"/>
        <v>34.799999999999997</v>
      </c>
      <c r="I104" s="54">
        <v>0</v>
      </c>
      <c r="J104" s="55" t="s">
        <v>10</v>
      </c>
      <c r="K104" s="55">
        <v>244</v>
      </c>
      <c r="L104" s="56" t="str">
        <f>LOOKUP(J104,[1]Survey_Info!A:A,[1]Survey_Info!G:G)</f>
        <v>ACCUM</v>
      </c>
      <c r="M104" s="56">
        <f>LOOKUP(J104,[1]Survey_Info!A:A,[1]Survey_Info!D:D)</f>
        <v>1200</v>
      </c>
      <c r="N104" s="56">
        <f>LOOKUP(J104,[1]Survey_Info!A:A, [1]Survey_Info!J:J)</f>
        <v>180</v>
      </c>
      <c r="O104" s="56">
        <v>0</v>
      </c>
    </row>
    <row r="105" spans="1:15" s="56" customFormat="1" x14ac:dyDescent="0.25">
      <c r="A105" s="48" t="s">
        <v>171</v>
      </c>
      <c r="B105" s="49" t="s">
        <v>22</v>
      </c>
      <c r="C105" s="50">
        <v>16</v>
      </c>
      <c r="D105" s="50">
        <v>16</v>
      </c>
      <c r="E105" s="51">
        <v>59.86</v>
      </c>
      <c r="F105" s="52">
        <v>32</v>
      </c>
      <c r="G105" s="52">
        <v>51</v>
      </c>
      <c r="H105" s="53">
        <f t="shared" si="2"/>
        <v>44.8</v>
      </c>
      <c r="I105" s="54">
        <v>0</v>
      </c>
      <c r="J105" s="55" t="s">
        <v>10</v>
      </c>
      <c r="K105" s="55">
        <v>242</v>
      </c>
      <c r="L105" s="56" t="str">
        <f>LOOKUP(J105,[1]Survey_Info!A:A,[1]Survey_Info!G:G)</f>
        <v>ACCUM</v>
      </c>
      <c r="M105" s="56">
        <f>LOOKUP(J105,[1]Survey_Info!A:A,[1]Survey_Info!D:D)</f>
        <v>1200</v>
      </c>
      <c r="N105" s="56">
        <f>LOOKUP(J105,[1]Survey_Info!A:A, [1]Survey_Info!J:J)</f>
        <v>180</v>
      </c>
      <c r="O105" s="56">
        <v>0</v>
      </c>
    </row>
    <row r="106" spans="1:15" s="56" customFormat="1" x14ac:dyDescent="0.25">
      <c r="A106" s="48" t="s">
        <v>172</v>
      </c>
      <c r="B106" s="49" t="s">
        <v>22</v>
      </c>
      <c r="C106" s="50">
        <v>16</v>
      </c>
      <c r="D106" s="50">
        <v>16</v>
      </c>
      <c r="E106" s="51">
        <v>59.86</v>
      </c>
      <c r="F106" s="52">
        <v>32</v>
      </c>
      <c r="G106" s="52">
        <v>51</v>
      </c>
      <c r="H106" s="53">
        <f t="shared" si="2"/>
        <v>54.8</v>
      </c>
      <c r="I106" s="54">
        <v>0</v>
      </c>
      <c r="J106" s="55" t="s">
        <v>10</v>
      </c>
      <c r="K106" s="55">
        <v>240</v>
      </c>
      <c r="L106" s="56" t="str">
        <f>LOOKUP(J106,[1]Survey_Info!A:A,[1]Survey_Info!G:G)</f>
        <v>ACCUM</v>
      </c>
      <c r="M106" s="56">
        <f>LOOKUP(J106,[1]Survey_Info!A:A,[1]Survey_Info!D:D)</f>
        <v>1200</v>
      </c>
      <c r="N106" s="56">
        <f>LOOKUP(J106,[1]Survey_Info!A:A, [1]Survey_Info!J:J)</f>
        <v>180</v>
      </c>
      <c r="O106" s="56">
        <v>0</v>
      </c>
    </row>
    <row r="107" spans="1:15" s="56" customFormat="1" x14ac:dyDescent="0.25">
      <c r="A107" s="48" t="s">
        <v>173</v>
      </c>
      <c r="B107" s="49" t="s">
        <v>22</v>
      </c>
      <c r="C107" s="50">
        <v>16</v>
      </c>
      <c r="D107" s="50">
        <v>16</v>
      </c>
      <c r="E107" s="51">
        <v>59.86</v>
      </c>
      <c r="F107" s="52">
        <v>32</v>
      </c>
      <c r="G107" s="52">
        <v>52</v>
      </c>
      <c r="H107" s="53">
        <f t="shared" si="2"/>
        <v>4.7999999999999972</v>
      </c>
      <c r="I107" s="54">
        <v>0</v>
      </c>
      <c r="J107" s="55" t="s">
        <v>10</v>
      </c>
      <c r="K107" s="55">
        <v>238</v>
      </c>
      <c r="L107" s="56" t="str">
        <f>LOOKUP(J107,[1]Survey_Info!A:A,[1]Survey_Info!G:G)</f>
        <v>ACCUM</v>
      </c>
      <c r="M107" s="56">
        <f>LOOKUP(J107,[1]Survey_Info!A:A,[1]Survey_Info!D:D)</f>
        <v>1200</v>
      </c>
      <c r="N107" s="56">
        <f>LOOKUP(J107,[1]Survey_Info!A:A, [1]Survey_Info!J:J)</f>
        <v>180</v>
      </c>
      <c r="O107" s="56">
        <v>0</v>
      </c>
    </row>
    <row r="108" spans="1:15" s="56" customFormat="1" x14ac:dyDescent="0.25">
      <c r="A108" s="48" t="s">
        <v>174</v>
      </c>
      <c r="B108" s="49" t="s">
        <v>22</v>
      </c>
      <c r="C108" s="50">
        <v>16</v>
      </c>
      <c r="D108" s="50">
        <v>16</v>
      </c>
      <c r="E108" s="51">
        <v>59.86</v>
      </c>
      <c r="F108" s="52">
        <v>32</v>
      </c>
      <c r="G108" s="52">
        <v>52</v>
      </c>
      <c r="H108" s="53">
        <f t="shared" si="2"/>
        <v>14.799999999999997</v>
      </c>
      <c r="I108" s="54">
        <v>0</v>
      </c>
      <c r="J108" s="55" t="s">
        <v>10</v>
      </c>
      <c r="K108" s="55">
        <v>236</v>
      </c>
      <c r="L108" s="56" t="str">
        <f>LOOKUP(J108,[1]Survey_Info!A:A,[1]Survey_Info!G:G)</f>
        <v>ACCUM</v>
      </c>
      <c r="M108" s="56">
        <f>LOOKUP(J108,[1]Survey_Info!A:A,[1]Survey_Info!D:D)</f>
        <v>1200</v>
      </c>
      <c r="N108" s="56">
        <f>LOOKUP(J108,[1]Survey_Info!A:A, [1]Survey_Info!J:J)</f>
        <v>180</v>
      </c>
      <c r="O108" s="56">
        <v>0</v>
      </c>
    </row>
    <row r="109" spans="1:15" s="56" customFormat="1" x14ac:dyDescent="0.25">
      <c r="A109" s="48" t="s">
        <v>175</v>
      </c>
      <c r="B109" s="49" t="s">
        <v>22</v>
      </c>
      <c r="C109" s="50">
        <v>16</v>
      </c>
      <c r="D109" s="50">
        <v>16</v>
      </c>
      <c r="E109" s="51">
        <v>59.86</v>
      </c>
      <c r="F109" s="52">
        <v>32</v>
      </c>
      <c r="G109" s="52">
        <v>52</v>
      </c>
      <c r="H109" s="53">
        <f t="shared" si="2"/>
        <v>24.799999999999997</v>
      </c>
      <c r="I109" s="54">
        <v>0</v>
      </c>
      <c r="J109" s="55" t="s">
        <v>10</v>
      </c>
      <c r="K109" s="55">
        <v>234</v>
      </c>
      <c r="L109" s="56" t="str">
        <f>LOOKUP(J109,[1]Survey_Info!A:A,[1]Survey_Info!G:G)</f>
        <v>ACCUM</v>
      </c>
      <c r="M109" s="56">
        <f>LOOKUP(J109,[1]Survey_Info!A:A,[1]Survey_Info!D:D)</f>
        <v>1200</v>
      </c>
      <c r="N109" s="56">
        <f>LOOKUP(J109,[1]Survey_Info!A:A, [1]Survey_Info!J:J)</f>
        <v>180</v>
      </c>
      <c r="O109" s="56">
        <v>0</v>
      </c>
    </row>
    <row r="110" spans="1:15" s="56" customFormat="1" x14ac:dyDescent="0.25">
      <c r="A110" s="48" t="s">
        <v>176</v>
      </c>
      <c r="B110" s="49" t="s">
        <v>22</v>
      </c>
      <c r="C110" s="50">
        <v>16</v>
      </c>
      <c r="D110" s="50">
        <v>16</v>
      </c>
      <c r="E110" s="51">
        <v>59.86</v>
      </c>
      <c r="F110" s="52">
        <v>32</v>
      </c>
      <c r="G110" s="52">
        <v>52</v>
      </c>
      <c r="H110" s="53">
        <f t="shared" si="2"/>
        <v>34.799999999999997</v>
      </c>
      <c r="I110" s="54">
        <v>0</v>
      </c>
      <c r="J110" s="55" t="s">
        <v>10</v>
      </c>
      <c r="K110" s="55">
        <v>232</v>
      </c>
      <c r="L110" s="56" t="str">
        <f>LOOKUP(J110,[1]Survey_Info!A:A,[1]Survey_Info!G:G)</f>
        <v>ACCUM</v>
      </c>
      <c r="M110" s="56">
        <f>LOOKUP(J110,[1]Survey_Info!A:A,[1]Survey_Info!D:D)</f>
        <v>1200</v>
      </c>
      <c r="N110" s="56">
        <f>LOOKUP(J110,[1]Survey_Info!A:A, [1]Survey_Info!J:J)</f>
        <v>180</v>
      </c>
      <c r="O110" s="56">
        <v>0</v>
      </c>
    </row>
    <row r="111" spans="1:15" s="56" customFormat="1" x14ac:dyDescent="0.25">
      <c r="A111" s="48" t="s">
        <v>177</v>
      </c>
      <c r="B111" s="49" t="s">
        <v>22</v>
      </c>
      <c r="C111" s="50">
        <v>16</v>
      </c>
      <c r="D111" s="50">
        <v>16</v>
      </c>
      <c r="E111" s="51">
        <v>59.86</v>
      </c>
      <c r="F111" s="52">
        <v>32</v>
      </c>
      <c r="G111" s="52">
        <v>52</v>
      </c>
      <c r="H111" s="53">
        <f t="shared" si="2"/>
        <v>44.8</v>
      </c>
      <c r="I111" s="54">
        <v>0</v>
      </c>
      <c r="J111" s="55" t="s">
        <v>10</v>
      </c>
      <c r="K111" s="55">
        <v>230</v>
      </c>
      <c r="L111" s="56" t="str">
        <f>LOOKUP(J111,[1]Survey_Info!A:A,[1]Survey_Info!G:G)</f>
        <v>ACCUM</v>
      </c>
      <c r="M111" s="56">
        <f>LOOKUP(J111,[1]Survey_Info!A:A,[1]Survey_Info!D:D)</f>
        <v>1200</v>
      </c>
      <c r="N111" s="56">
        <f>LOOKUP(J111,[1]Survey_Info!A:A, [1]Survey_Info!J:J)</f>
        <v>180</v>
      </c>
      <c r="O111" s="56">
        <v>0</v>
      </c>
    </row>
    <row r="112" spans="1:15" s="56" customFormat="1" x14ac:dyDescent="0.25">
      <c r="A112" s="48" t="s">
        <v>178</v>
      </c>
      <c r="B112" s="49" t="s">
        <v>22</v>
      </c>
      <c r="C112" s="50">
        <v>16</v>
      </c>
      <c r="D112" s="50">
        <v>16</v>
      </c>
      <c r="E112" s="51">
        <v>59.86</v>
      </c>
      <c r="F112" s="52">
        <v>32</v>
      </c>
      <c r="G112" s="52">
        <v>52</v>
      </c>
      <c r="H112" s="53">
        <f t="shared" si="2"/>
        <v>54.8</v>
      </c>
      <c r="I112" s="54">
        <v>0</v>
      </c>
      <c r="J112" s="55" t="s">
        <v>10</v>
      </c>
      <c r="K112" s="55">
        <v>228</v>
      </c>
      <c r="L112" s="56" t="str">
        <f>LOOKUP(J112,[1]Survey_Info!A:A,[1]Survey_Info!G:G)</f>
        <v>ACCUM</v>
      </c>
      <c r="M112" s="56">
        <f>LOOKUP(J112,[1]Survey_Info!A:A,[1]Survey_Info!D:D)</f>
        <v>1200</v>
      </c>
      <c r="N112" s="56">
        <f>LOOKUP(J112,[1]Survey_Info!A:A, [1]Survey_Info!J:J)</f>
        <v>180</v>
      </c>
      <c r="O112" s="56">
        <v>0</v>
      </c>
    </row>
    <row r="113" spans="1:15" s="56" customFormat="1" x14ac:dyDescent="0.25">
      <c r="A113" s="48" t="s">
        <v>179</v>
      </c>
      <c r="B113" s="49" t="s">
        <v>22</v>
      </c>
      <c r="C113" s="50">
        <v>16</v>
      </c>
      <c r="D113" s="50">
        <v>16</v>
      </c>
      <c r="E113" s="51">
        <v>59.86</v>
      </c>
      <c r="F113" s="52">
        <v>32</v>
      </c>
      <c r="G113" s="52">
        <v>53</v>
      </c>
      <c r="H113" s="53">
        <f t="shared" si="2"/>
        <v>4.7999999999999972</v>
      </c>
      <c r="I113" s="54">
        <v>0</v>
      </c>
      <c r="J113" s="55" t="s">
        <v>10</v>
      </c>
      <c r="K113" s="55">
        <v>226</v>
      </c>
      <c r="L113" s="56" t="str">
        <f>LOOKUP(J113,[1]Survey_Info!A:A,[1]Survey_Info!G:G)</f>
        <v>ACCUM</v>
      </c>
      <c r="M113" s="56">
        <f>LOOKUP(J113,[1]Survey_Info!A:A,[1]Survey_Info!D:D)</f>
        <v>1200</v>
      </c>
      <c r="N113" s="56">
        <f>LOOKUP(J113,[1]Survey_Info!A:A, [1]Survey_Info!J:J)</f>
        <v>180</v>
      </c>
      <c r="O113" s="56">
        <v>0</v>
      </c>
    </row>
    <row r="114" spans="1:15" s="56" customFormat="1" x14ac:dyDescent="0.25">
      <c r="A114" s="48" t="s">
        <v>180</v>
      </c>
      <c r="B114" s="49" t="s">
        <v>22</v>
      </c>
      <c r="C114" s="50">
        <v>16</v>
      </c>
      <c r="D114" s="50">
        <v>16</v>
      </c>
      <c r="E114" s="51">
        <v>59.86</v>
      </c>
      <c r="F114" s="52">
        <v>32</v>
      </c>
      <c r="G114" s="52">
        <v>53</v>
      </c>
      <c r="H114" s="53">
        <f t="shared" si="2"/>
        <v>14.799999999999997</v>
      </c>
      <c r="I114" s="54">
        <v>0</v>
      </c>
      <c r="J114" s="55" t="s">
        <v>10</v>
      </c>
      <c r="K114" s="55">
        <v>224</v>
      </c>
      <c r="L114" s="56" t="str">
        <f>LOOKUP(J114,[1]Survey_Info!A:A,[1]Survey_Info!G:G)</f>
        <v>ACCUM</v>
      </c>
      <c r="M114" s="56">
        <f>LOOKUP(J114,[1]Survey_Info!A:A,[1]Survey_Info!D:D)</f>
        <v>1200</v>
      </c>
      <c r="N114" s="56">
        <f>LOOKUP(J114,[1]Survey_Info!A:A, [1]Survey_Info!J:J)</f>
        <v>180</v>
      </c>
      <c r="O114" s="56">
        <v>0</v>
      </c>
    </row>
    <row r="115" spans="1:15" s="56" customFormat="1" x14ac:dyDescent="0.25">
      <c r="A115" s="48" t="s">
        <v>181</v>
      </c>
      <c r="B115" s="49" t="s">
        <v>22</v>
      </c>
      <c r="C115" s="50">
        <v>16</v>
      </c>
      <c r="D115" s="50">
        <v>16</v>
      </c>
      <c r="E115" s="51">
        <v>59.86</v>
      </c>
      <c r="F115" s="52">
        <v>32</v>
      </c>
      <c r="G115" s="52">
        <v>53</v>
      </c>
      <c r="H115" s="53">
        <f t="shared" si="2"/>
        <v>24.799999999999997</v>
      </c>
      <c r="I115" s="54">
        <v>0</v>
      </c>
      <c r="J115" s="55" t="s">
        <v>10</v>
      </c>
      <c r="K115" s="55">
        <v>222</v>
      </c>
      <c r="L115" s="56" t="str">
        <f>LOOKUP(J115,[1]Survey_Info!A:A,[1]Survey_Info!G:G)</f>
        <v>ACCUM</v>
      </c>
      <c r="M115" s="56">
        <f>LOOKUP(J115,[1]Survey_Info!A:A,[1]Survey_Info!D:D)</f>
        <v>1200</v>
      </c>
      <c r="N115" s="56">
        <f>LOOKUP(J115,[1]Survey_Info!A:A, [1]Survey_Info!J:J)</f>
        <v>180</v>
      </c>
      <c r="O115" s="56">
        <v>0</v>
      </c>
    </row>
    <row r="116" spans="1:15" s="56" customFormat="1" x14ac:dyDescent="0.25">
      <c r="A116" s="48" t="s">
        <v>182</v>
      </c>
      <c r="B116" s="49" t="s">
        <v>22</v>
      </c>
      <c r="C116" s="50">
        <v>16</v>
      </c>
      <c r="D116" s="50">
        <v>16</v>
      </c>
      <c r="E116" s="51">
        <v>59.86</v>
      </c>
      <c r="F116" s="52">
        <v>32</v>
      </c>
      <c r="G116" s="52">
        <v>53</v>
      </c>
      <c r="H116" s="53">
        <f t="shared" si="2"/>
        <v>34.799999999999997</v>
      </c>
      <c r="I116" s="54">
        <v>0</v>
      </c>
      <c r="J116" s="55" t="s">
        <v>10</v>
      </c>
      <c r="K116" s="55">
        <v>220</v>
      </c>
      <c r="L116" s="56" t="str">
        <f>LOOKUP(J116,[1]Survey_Info!A:A,[1]Survey_Info!G:G)</f>
        <v>ACCUM</v>
      </c>
      <c r="M116" s="56">
        <f>LOOKUP(J116,[1]Survey_Info!A:A,[1]Survey_Info!D:D)</f>
        <v>1200</v>
      </c>
      <c r="N116" s="56">
        <f>LOOKUP(J116,[1]Survey_Info!A:A, [1]Survey_Info!J:J)</f>
        <v>180</v>
      </c>
      <c r="O116" s="56">
        <v>0</v>
      </c>
    </row>
    <row r="117" spans="1:15" s="56" customFormat="1" x14ac:dyDescent="0.25">
      <c r="A117" s="48" t="s">
        <v>183</v>
      </c>
      <c r="B117" s="49" t="s">
        <v>22</v>
      </c>
      <c r="C117" s="50">
        <v>16</v>
      </c>
      <c r="D117" s="50">
        <v>16</v>
      </c>
      <c r="E117" s="51">
        <v>59.86</v>
      </c>
      <c r="F117" s="52">
        <v>32</v>
      </c>
      <c r="G117" s="52">
        <v>53</v>
      </c>
      <c r="H117" s="53">
        <f t="shared" si="2"/>
        <v>44.8</v>
      </c>
      <c r="I117" s="54">
        <v>0</v>
      </c>
      <c r="J117" s="55" t="s">
        <v>10</v>
      </c>
      <c r="K117" s="55">
        <v>218</v>
      </c>
      <c r="L117" s="56" t="str">
        <f>LOOKUP(J117,[1]Survey_Info!A:A,[1]Survey_Info!G:G)</f>
        <v>ACCUM</v>
      </c>
      <c r="M117" s="56">
        <f>LOOKUP(J117,[1]Survey_Info!A:A,[1]Survey_Info!D:D)</f>
        <v>1200</v>
      </c>
      <c r="N117" s="56">
        <f>LOOKUP(J117,[1]Survey_Info!A:A, [1]Survey_Info!J:J)</f>
        <v>180</v>
      </c>
      <c r="O117" s="56">
        <v>0</v>
      </c>
    </row>
    <row r="118" spans="1:15" s="56" customFormat="1" x14ac:dyDescent="0.25">
      <c r="A118" s="48" t="s">
        <v>184</v>
      </c>
      <c r="B118" s="49" t="s">
        <v>22</v>
      </c>
      <c r="C118" s="50">
        <v>16</v>
      </c>
      <c r="D118" s="50">
        <v>16</v>
      </c>
      <c r="E118" s="51">
        <v>59.86</v>
      </c>
      <c r="F118" s="52">
        <v>32</v>
      </c>
      <c r="G118" s="52">
        <v>53</v>
      </c>
      <c r="H118" s="53">
        <f t="shared" si="2"/>
        <v>54.8</v>
      </c>
      <c r="I118" s="54">
        <v>0</v>
      </c>
      <c r="J118" s="55" t="s">
        <v>10</v>
      </c>
      <c r="K118" s="55">
        <v>216</v>
      </c>
      <c r="L118" s="56" t="str">
        <f>LOOKUP(J118,[1]Survey_Info!A:A,[1]Survey_Info!G:G)</f>
        <v>ACCUM</v>
      </c>
      <c r="M118" s="56">
        <f>LOOKUP(J118,[1]Survey_Info!A:A,[1]Survey_Info!D:D)</f>
        <v>1200</v>
      </c>
      <c r="N118" s="56">
        <f>LOOKUP(J118,[1]Survey_Info!A:A, [1]Survey_Info!J:J)</f>
        <v>180</v>
      </c>
      <c r="O118" s="56">
        <v>0</v>
      </c>
    </row>
    <row r="119" spans="1:15" s="56" customFormat="1" x14ac:dyDescent="0.25">
      <c r="A119" s="48" t="s">
        <v>185</v>
      </c>
      <c r="B119" s="49" t="s">
        <v>22</v>
      </c>
      <c r="C119" s="50">
        <v>16</v>
      </c>
      <c r="D119" s="50">
        <v>16</v>
      </c>
      <c r="E119" s="51">
        <v>59.86</v>
      </c>
      <c r="F119" s="52">
        <v>32</v>
      </c>
      <c r="G119" s="52">
        <v>54</v>
      </c>
      <c r="H119" s="53">
        <f t="shared" si="2"/>
        <v>4.7999999999999972</v>
      </c>
      <c r="I119" s="54">
        <v>0</v>
      </c>
      <c r="J119" s="55" t="s">
        <v>10</v>
      </c>
      <c r="K119" s="55">
        <v>214</v>
      </c>
      <c r="L119" s="56" t="str">
        <f>LOOKUP(J119,[1]Survey_Info!A:A,[1]Survey_Info!G:G)</f>
        <v>ACCUM</v>
      </c>
      <c r="M119" s="56">
        <f>LOOKUP(J119,[1]Survey_Info!A:A,[1]Survey_Info!D:D)</f>
        <v>1200</v>
      </c>
      <c r="N119" s="56">
        <f>LOOKUP(J119,[1]Survey_Info!A:A, [1]Survey_Info!J:J)</f>
        <v>180</v>
      </c>
      <c r="O119" s="56">
        <v>0</v>
      </c>
    </row>
    <row r="120" spans="1:15" s="56" customFormat="1" x14ac:dyDescent="0.25">
      <c r="A120" s="48" t="s">
        <v>186</v>
      </c>
      <c r="B120" s="49" t="s">
        <v>22</v>
      </c>
      <c r="C120" s="50">
        <v>16</v>
      </c>
      <c r="D120" s="50">
        <v>16</v>
      </c>
      <c r="E120" s="51">
        <v>59.86</v>
      </c>
      <c r="F120" s="52">
        <v>32</v>
      </c>
      <c r="G120" s="52">
        <v>54</v>
      </c>
      <c r="H120" s="53">
        <f t="shared" si="2"/>
        <v>14.799999999999997</v>
      </c>
      <c r="I120" s="54">
        <v>0</v>
      </c>
      <c r="J120" s="55" t="s">
        <v>10</v>
      </c>
      <c r="K120" s="55">
        <v>212</v>
      </c>
      <c r="L120" s="56" t="str">
        <f>LOOKUP(J120,[1]Survey_Info!A:A,[1]Survey_Info!G:G)</f>
        <v>ACCUM</v>
      </c>
      <c r="M120" s="56">
        <f>LOOKUP(J120,[1]Survey_Info!A:A,[1]Survey_Info!D:D)</f>
        <v>1200</v>
      </c>
      <c r="N120" s="56">
        <f>LOOKUP(J120,[1]Survey_Info!A:A, [1]Survey_Info!J:J)</f>
        <v>180</v>
      </c>
      <c r="O120" s="56">
        <v>0</v>
      </c>
    </row>
    <row r="121" spans="1:15" s="56" customFormat="1" x14ac:dyDescent="0.25">
      <c r="A121" s="48" t="s">
        <v>187</v>
      </c>
      <c r="B121" s="49" t="s">
        <v>22</v>
      </c>
      <c r="C121" s="50">
        <v>16</v>
      </c>
      <c r="D121" s="50">
        <v>16</v>
      </c>
      <c r="E121" s="51">
        <v>59.86</v>
      </c>
      <c r="F121" s="52">
        <v>32</v>
      </c>
      <c r="G121" s="52">
        <v>54</v>
      </c>
      <c r="H121" s="53">
        <f t="shared" si="2"/>
        <v>24.799999999999997</v>
      </c>
      <c r="I121" s="54">
        <v>0</v>
      </c>
      <c r="J121" s="55" t="s">
        <v>10</v>
      </c>
      <c r="K121" s="55">
        <v>210</v>
      </c>
      <c r="L121" s="56" t="str">
        <f>LOOKUP(J121,[1]Survey_Info!A:A,[1]Survey_Info!G:G)</f>
        <v>ACCUM</v>
      </c>
      <c r="M121" s="56">
        <f>LOOKUP(J121,[1]Survey_Info!A:A,[1]Survey_Info!D:D)</f>
        <v>1200</v>
      </c>
      <c r="N121" s="56">
        <f>LOOKUP(J121,[1]Survey_Info!A:A, [1]Survey_Info!J:J)</f>
        <v>180</v>
      </c>
      <c r="O121" s="56">
        <v>0</v>
      </c>
    </row>
    <row r="122" spans="1:15" s="56" customFormat="1" x14ac:dyDescent="0.25">
      <c r="A122" s="48" t="s">
        <v>188</v>
      </c>
      <c r="B122" s="49" t="s">
        <v>22</v>
      </c>
      <c r="C122" s="50">
        <v>16</v>
      </c>
      <c r="D122" s="50">
        <v>16</v>
      </c>
      <c r="E122" s="51">
        <v>59.86</v>
      </c>
      <c r="F122" s="52">
        <v>32</v>
      </c>
      <c r="G122" s="52">
        <v>54</v>
      </c>
      <c r="H122" s="53">
        <f t="shared" si="2"/>
        <v>34.799999999999997</v>
      </c>
      <c r="I122" s="54">
        <v>0</v>
      </c>
      <c r="J122" s="55" t="s">
        <v>10</v>
      </c>
      <c r="K122" s="55">
        <v>208</v>
      </c>
      <c r="L122" s="56" t="str">
        <f>LOOKUP(J122,[1]Survey_Info!A:A,[1]Survey_Info!G:G)</f>
        <v>ACCUM</v>
      </c>
      <c r="M122" s="56">
        <f>LOOKUP(J122,[1]Survey_Info!A:A,[1]Survey_Info!D:D)</f>
        <v>1200</v>
      </c>
      <c r="N122" s="56">
        <f>LOOKUP(J122,[1]Survey_Info!A:A, [1]Survey_Info!J:J)</f>
        <v>180</v>
      </c>
      <c r="O122" s="56">
        <v>0</v>
      </c>
    </row>
    <row r="123" spans="1:15" s="56" customFormat="1" x14ac:dyDescent="0.25">
      <c r="A123" s="48" t="s">
        <v>189</v>
      </c>
      <c r="B123" s="49" t="s">
        <v>22</v>
      </c>
      <c r="C123" s="50">
        <v>16</v>
      </c>
      <c r="D123" s="50">
        <v>16</v>
      </c>
      <c r="E123" s="51">
        <v>59.86</v>
      </c>
      <c r="F123" s="52">
        <v>32</v>
      </c>
      <c r="G123" s="52">
        <v>54</v>
      </c>
      <c r="H123" s="53">
        <f t="shared" si="2"/>
        <v>44.8</v>
      </c>
      <c r="I123" s="54">
        <v>0</v>
      </c>
      <c r="J123" s="55" t="s">
        <v>10</v>
      </c>
      <c r="K123" s="55">
        <v>206</v>
      </c>
      <c r="L123" s="56" t="str">
        <f>LOOKUP(J123,[1]Survey_Info!A:A,[1]Survey_Info!G:G)</f>
        <v>ACCUM</v>
      </c>
      <c r="M123" s="56">
        <f>LOOKUP(J123,[1]Survey_Info!A:A,[1]Survey_Info!D:D)</f>
        <v>1200</v>
      </c>
      <c r="N123" s="56">
        <f>LOOKUP(J123,[1]Survey_Info!A:A, [1]Survey_Info!J:J)</f>
        <v>180</v>
      </c>
      <c r="O123" s="56">
        <v>0</v>
      </c>
    </row>
    <row r="124" spans="1:15" s="56" customFormat="1" x14ac:dyDescent="0.25">
      <c r="A124" s="48" t="s">
        <v>190</v>
      </c>
      <c r="B124" s="49" t="s">
        <v>22</v>
      </c>
      <c r="C124" s="50">
        <v>16</v>
      </c>
      <c r="D124" s="50">
        <v>16</v>
      </c>
      <c r="E124" s="51">
        <v>59.86</v>
      </c>
      <c r="F124" s="52">
        <v>32</v>
      </c>
      <c r="G124" s="52">
        <v>54</v>
      </c>
      <c r="H124" s="53">
        <f t="shared" si="2"/>
        <v>54.8</v>
      </c>
      <c r="I124" s="54">
        <v>0</v>
      </c>
      <c r="J124" s="55" t="s">
        <v>10</v>
      </c>
      <c r="K124" s="55">
        <v>204</v>
      </c>
      <c r="L124" s="56" t="str">
        <f>LOOKUP(J124,[1]Survey_Info!A:A,[1]Survey_Info!G:G)</f>
        <v>ACCUM</v>
      </c>
      <c r="M124" s="56">
        <f>LOOKUP(J124,[1]Survey_Info!A:A,[1]Survey_Info!D:D)</f>
        <v>1200</v>
      </c>
      <c r="N124" s="56">
        <f>LOOKUP(J124,[1]Survey_Info!A:A, [1]Survey_Info!J:J)</f>
        <v>180</v>
      </c>
      <c r="O124" s="56">
        <v>0</v>
      </c>
    </row>
    <row r="125" spans="1:15" s="56" customFormat="1" x14ac:dyDescent="0.25">
      <c r="A125" s="48" t="s">
        <v>191</v>
      </c>
      <c r="B125" s="49" t="s">
        <v>22</v>
      </c>
      <c r="C125" s="50">
        <v>16</v>
      </c>
      <c r="D125" s="50">
        <v>16</v>
      </c>
      <c r="E125" s="51">
        <v>59.86</v>
      </c>
      <c r="F125" s="52">
        <v>32</v>
      </c>
      <c r="G125" s="52">
        <v>55</v>
      </c>
      <c r="H125" s="53">
        <f t="shared" si="2"/>
        <v>4.7999999999999972</v>
      </c>
      <c r="I125" s="54">
        <v>0</v>
      </c>
      <c r="J125" s="55" t="s">
        <v>10</v>
      </c>
      <c r="K125" s="55">
        <v>202</v>
      </c>
      <c r="L125" s="56" t="str">
        <f>LOOKUP(J125,[1]Survey_Info!A:A,[1]Survey_Info!G:G)</f>
        <v>ACCUM</v>
      </c>
      <c r="M125" s="56">
        <f>LOOKUP(J125,[1]Survey_Info!A:A,[1]Survey_Info!D:D)</f>
        <v>1200</v>
      </c>
      <c r="N125" s="56">
        <f>LOOKUP(J125,[1]Survey_Info!A:A, [1]Survey_Info!J:J)</f>
        <v>180</v>
      </c>
      <c r="O125" s="56">
        <v>0</v>
      </c>
    </row>
    <row r="126" spans="1:15" s="56" customFormat="1" x14ac:dyDescent="0.25">
      <c r="A126" s="48" t="s">
        <v>192</v>
      </c>
      <c r="B126" s="49" t="s">
        <v>22</v>
      </c>
      <c r="C126" s="50">
        <v>16</v>
      </c>
      <c r="D126" s="50">
        <v>16</v>
      </c>
      <c r="E126" s="51">
        <v>59.86</v>
      </c>
      <c r="F126" s="52">
        <v>32</v>
      </c>
      <c r="G126" s="52">
        <v>55</v>
      </c>
      <c r="H126" s="53">
        <f t="shared" si="2"/>
        <v>14.799999999999997</v>
      </c>
      <c r="I126" s="54">
        <v>0</v>
      </c>
      <c r="J126" s="55" t="s">
        <v>10</v>
      </c>
      <c r="K126" s="55">
        <v>200</v>
      </c>
      <c r="L126" s="56" t="str">
        <f>LOOKUP(J126,[1]Survey_Info!A:A,[1]Survey_Info!G:G)</f>
        <v>ACCUM</v>
      </c>
      <c r="M126" s="56">
        <f>LOOKUP(J126,[1]Survey_Info!A:A,[1]Survey_Info!D:D)</f>
        <v>1200</v>
      </c>
      <c r="N126" s="56">
        <f>LOOKUP(J126,[1]Survey_Info!A:A, [1]Survey_Info!J:J)</f>
        <v>180</v>
      </c>
      <c r="O126" s="56">
        <v>0</v>
      </c>
    </row>
    <row r="127" spans="1:15" s="56" customFormat="1" x14ac:dyDescent="0.25">
      <c r="A127" s="48" t="s">
        <v>193</v>
      </c>
      <c r="B127" s="49" t="s">
        <v>22</v>
      </c>
      <c r="C127" s="50">
        <v>16</v>
      </c>
      <c r="D127" s="50">
        <v>16</v>
      </c>
      <c r="E127" s="51">
        <v>59.86</v>
      </c>
      <c r="F127" s="52">
        <v>32</v>
      </c>
      <c r="G127" s="52">
        <v>55</v>
      </c>
      <c r="H127" s="53">
        <f t="shared" si="2"/>
        <v>24.799999999999997</v>
      </c>
      <c r="I127" s="54">
        <v>0</v>
      </c>
      <c r="J127" s="55" t="s">
        <v>10</v>
      </c>
      <c r="K127" s="55">
        <v>198</v>
      </c>
      <c r="L127" s="56" t="str">
        <f>LOOKUP(J127,[1]Survey_Info!A:A,[1]Survey_Info!G:G)</f>
        <v>ACCUM</v>
      </c>
      <c r="M127" s="56">
        <f>LOOKUP(J127,[1]Survey_Info!A:A,[1]Survey_Info!D:D)</f>
        <v>1200</v>
      </c>
      <c r="N127" s="56">
        <f>LOOKUP(J127,[1]Survey_Info!A:A, [1]Survey_Info!J:J)</f>
        <v>180</v>
      </c>
      <c r="O127" s="56">
        <v>0</v>
      </c>
    </row>
    <row r="128" spans="1:15" s="56" customFormat="1" x14ac:dyDescent="0.25">
      <c r="A128" s="48" t="s">
        <v>194</v>
      </c>
      <c r="B128" s="49" t="s">
        <v>22</v>
      </c>
      <c r="C128" s="50">
        <v>16</v>
      </c>
      <c r="D128" s="50">
        <v>16</v>
      </c>
      <c r="E128" s="51">
        <v>59.86</v>
      </c>
      <c r="F128" s="52">
        <v>32</v>
      </c>
      <c r="G128" s="52">
        <v>55</v>
      </c>
      <c r="H128" s="53">
        <f t="shared" si="2"/>
        <v>34.799999999999997</v>
      </c>
      <c r="I128" s="54">
        <v>0</v>
      </c>
      <c r="J128" s="55" t="s">
        <v>10</v>
      </c>
      <c r="K128" s="55">
        <v>196</v>
      </c>
      <c r="L128" s="56" t="str">
        <f>LOOKUP(J128,[1]Survey_Info!A:A,[1]Survey_Info!G:G)</f>
        <v>ACCUM</v>
      </c>
      <c r="M128" s="56">
        <f>LOOKUP(J128,[1]Survey_Info!A:A,[1]Survey_Info!D:D)</f>
        <v>1200</v>
      </c>
      <c r="N128" s="56">
        <f>LOOKUP(J128,[1]Survey_Info!A:A, [1]Survey_Info!J:J)</f>
        <v>180</v>
      </c>
      <c r="O128" s="56">
        <v>0</v>
      </c>
    </row>
    <row r="129" spans="1:15" s="56" customFormat="1" x14ac:dyDescent="0.25">
      <c r="A129" s="48" t="s">
        <v>195</v>
      </c>
      <c r="B129" s="49" t="s">
        <v>22</v>
      </c>
      <c r="C129" s="50">
        <v>16</v>
      </c>
      <c r="D129" s="50">
        <v>16</v>
      </c>
      <c r="E129" s="51">
        <v>59.86</v>
      </c>
      <c r="F129" s="52">
        <v>32</v>
      </c>
      <c r="G129" s="52">
        <v>55</v>
      </c>
      <c r="H129" s="53">
        <f t="shared" si="2"/>
        <v>44.8</v>
      </c>
      <c r="I129" s="54">
        <v>0</v>
      </c>
      <c r="J129" s="55" t="s">
        <v>10</v>
      </c>
      <c r="K129" s="55">
        <v>194</v>
      </c>
      <c r="L129" s="56" t="str">
        <f>LOOKUP(J129,[1]Survey_Info!A:A,[1]Survey_Info!G:G)</f>
        <v>ACCUM</v>
      </c>
      <c r="M129" s="56">
        <f>LOOKUP(J129,[1]Survey_Info!A:A,[1]Survey_Info!D:D)</f>
        <v>1200</v>
      </c>
      <c r="N129" s="56">
        <f>LOOKUP(J129,[1]Survey_Info!A:A, [1]Survey_Info!J:J)</f>
        <v>180</v>
      </c>
      <c r="O129" s="56">
        <v>0</v>
      </c>
    </row>
    <row r="130" spans="1:15" s="56" customFormat="1" x14ac:dyDescent="0.25">
      <c r="A130" s="48" t="s">
        <v>196</v>
      </c>
      <c r="B130" s="49" t="s">
        <v>22</v>
      </c>
      <c r="C130" s="50">
        <v>16</v>
      </c>
      <c r="D130" s="50">
        <v>16</v>
      </c>
      <c r="E130" s="51">
        <v>59.86</v>
      </c>
      <c r="F130" s="52">
        <v>32</v>
      </c>
      <c r="G130" s="52">
        <v>55</v>
      </c>
      <c r="H130" s="53">
        <f t="shared" si="2"/>
        <v>54.8</v>
      </c>
      <c r="I130" s="54">
        <v>0</v>
      </c>
      <c r="J130" s="55" t="s">
        <v>10</v>
      </c>
      <c r="K130" s="55">
        <v>192</v>
      </c>
      <c r="L130" s="56" t="str">
        <f>LOOKUP(J130,[1]Survey_Info!A:A,[1]Survey_Info!G:G)</f>
        <v>ACCUM</v>
      </c>
      <c r="M130" s="56">
        <f>LOOKUP(J130,[1]Survey_Info!A:A,[1]Survey_Info!D:D)</f>
        <v>1200</v>
      </c>
      <c r="N130" s="56">
        <f>LOOKUP(J130,[1]Survey_Info!A:A, [1]Survey_Info!J:J)</f>
        <v>180</v>
      </c>
      <c r="O130" s="56">
        <v>0</v>
      </c>
    </row>
    <row r="131" spans="1:15" s="56" customFormat="1" x14ac:dyDescent="0.25">
      <c r="A131" s="48" t="s">
        <v>197</v>
      </c>
      <c r="B131" s="49" t="s">
        <v>22</v>
      </c>
      <c r="C131" s="50">
        <v>16</v>
      </c>
      <c r="D131" s="50">
        <v>16</v>
      </c>
      <c r="E131" s="51">
        <v>59.86</v>
      </c>
      <c r="F131" s="52">
        <v>32</v>
      </c>
      <c r="G131" s="52">
        <v>56</v>
      </c>
      <c r="H131" s="53">
        <f t="shared" si="2"/>
        <v>4.7999999999999972</v>
      </c>
      <c r="I131" s="54">
        <v>0</v>
      </c>
      <c r="J131" s="55" t="s">
        <v>10</v>
      </c>
      <c r="K131" s="55">
        <v>190</v>
      </c>
      <c r="L131" s="56" t="str">
        <f>LOOKUP(J131,[1]Survey_Info!A:A,[1]Survey_Info!G:G)</f>
        <v>ACCUM</v>
      </c>
      <c r="M131" s="56">
        <f>LOOKUP(J131,[1]Survey_Info!A:A,[1]Survey_Info!D:D)</f>
        <v>1200</v>
      </c>
      <c r="N131" s="56">
        <f>LOOKUP(J131,[1]Survey_Info!A:A, [1]Survey_Info!J:J)</f>
        <v>180</v>
      </c>
      <c r="O131" s="56">
        <v>0</v>
      </c>
    </row>
    <row r="132" spans="1:15" s="56" customFormat="1" x14ac:dyDescent="0.25">
      <c r="A132" s="48" t="s">
        <v>198</v>
      </c>
      <c r="B132" s="49" t="s">
        <v>22</v>
      </c>
      <c r="C132" s="50">
        <v>16</v>
      </c>
      <c r="D132" s="50">
        <v>16</v>
      </c>
      <c r="E132" s="51">
        <v>59.86</v>
      </c>
      <c r="F132" s="52">
        <v>32</v>
      </c>
      <c r="G132" s="52">
        <v>56</v>
      </c>
      <c r="H132" s="53">
        <f t="shared" si="2"/>
        <v>14.799999999999997</v>
      </c>
      <c r="I132" s="54">
        <v>0</v>
      </c>
      <c r="J132" s="55" t="s">
        <v>10</v>
      </c>
      <c r="K132" s="55">
        <v>188</v>
      </c>
      <c r="L132" s="56" t="str">
        <f>LOOKUP(J132,[1]Survey_Info!A:A,[1]Survey_Info!G:G)</f>
        <v>ACCUM</v>
      </c>
      <c r="M132" s="56">
        <f>LOOKUP(J132,[1]Survey_Info!A:A,[1]Survey_Info!D:D)</f>
        <v>1200</v>
      </c>
      <c r="N132" s="56">
        <f>LOOKUP(J132,[1]Survey_Info!A:A, [1]Survey_Info!J:J)</f>
        <v>180</v>
      </c>
      <c r="O132" s="56">
        <v>0</v>
      </c>
    </row>
    <row r="133" spans="1:15" s="56" customFormat="1" x14ac:dyDescent="0.25">
      <c r="A133" s="48" t="s">
        <v>199</v>
      </c>
      <c r="B133" s="49" t="s">
        <v>22</v>
      </c>
      <c r="C133" s="50">
        <v>16</v>
      </c>
      <c r="D133" s="50">
        <v>16</v>
      </c>
      <c r="E133" s="51">
        <v>59.86</v>
      </c>
      <c r="F133" s="52">
        <v>32</v>
      </c>
      <c r="G133" s="52">
        <v>56</v>
      </c>
      <c r="H133" s="53">
        <f t="shared" si="2"/>
        <v>24.799999999999997</v>
      </c>
      <c r="I133" s="54">
        <v>0</v>
      </c>
      <c r="J133" s="55" t="s">
        <v>10</v>
      </c>
      <c r="K133" s="55">
        <v>186</v>
      </c>
      <c r="L133" s="56" t="str">
        <f>LOOKUP(J133,[1]Survey_Info!A:A,[1]Survey_Info!G:G)</f>
        <v>ACCUM</v>
      </c>
      <c r="M133" s="56">
        <f>LOOKUP(J133,[1]Survey_Info!A:A,[1]Survey_Info!D:D)</f>
        <v>1200</v>
      </c>
      <c r="N133" s="56">
        <f>LOOKUP(J133,[1]Survey_Info!A:A, [1]Survey_Info!J:J)</f>
        <v>180</v>
      </c>
      <c r="O133" s="56">
        <v>0</v>
      </c>
    </row>
    <row r="134" spans="1:15" s="56" customFormat="1" x14ac:dyDescent="0.25">
      <c r="A134" s="48" t="s">
        <v>157</v>
      </c>
      <c r="B134" s="49" t="s">
        <v>22</v>
      </c>
      <c r="C134" s="50">
        <v>16</v>
      </c>
      <c r="D134" s="50">
        <v>16</v>
      </c>
      <c r="E134" s="51">
        <v>59.86</v>
      </c>
      <c r="F134" s="52">
        <v>32</v>
      </c>
      <c r="G134" s="52">
        <v>56</v>
      </c>
      <c r="H134" s="53">
        <f t="shared" si="2"/>
        <v>34.799999999999997</v>
      </c>
      <c r="I134" s="54">
        <v>0</v>
      </c>
      <c r="J134" s="55" t="s">
        <v>10</v>
      </c>
      <c r="K134" s="55">
        <v>184</v>
      </c>
      <c r="L134" s="56" t="str">
        <f>LOOKUP(J134,[1]Survey_Info!A:A,[1]Survey_Info!G:G)</f>
        <v>ACCUM</v>
      </c>
      <c r="M134" s="56">
        <f>LOOKUP(J134,[1]Survey_Info!A:A,[1]Survey_Info!D:D)</f>
        <v>1200</v>
      </c>
      <c r="N134" s="56">
        <f>LOOKUP(J134,[1]Survey_Info!A:A, [1]Survey_Info!J:J)</f>
        <v>180</v>
      </c>
      <c r="O134" s="56">
        <v>0</v>
      </c>
    </row>
    <row r="135" spans="1:15" s="56" customFormat="1" x14ac:dyDescent="0.25">
      <c r="A135" s="48" t="s">
        <v>156</v>
      </c>
      <c r="B135" s="49" t="s">
        <v>22</v>
      </c>
      <c r="C135" s="50">
        <v>16</v>
      </c>
      <c r="D135" s="50">
        <v>16</v>
      </c>
      <c r="E135" s="51">
        <v>59.86</v>
      </c>
      <c r="F135" s="52">
        <v>32</v>
      </c>
      <c r="G135" s="52">
        <v>56</v>
      </c>
      <c r="H135" s="53">
        <f t="shared" si="2"/>
        <v>44.8</v>
      </c>
      <c r="I135" s="54">
        <v>0</v>
      </c>
      <c r="J135" s="55" t="s">
        <v>10</v>
      </c>
      <c r="K135" s="55">
        <v>182</v>
      </c>
      <c r="L135" s="56" t="str">
        <f>LOOKUP(J135,[1]Survey_Info!A:A,[1]Survey_Info!G:G)</f>
        <v>ACCUM</v>
      </c>
      <c r="M135" s="56">
        <f>LOOKUP(J135,[1]Survey_Info!A:A,[1]Survey_Info!D:D)</f>
        <v>1200</v>
      </c>
      <c r="N135" s="56">
        <f>LOOKUP(J135,[1]Survey_Info!A:A, [1]Survey_Info!J:J)</f>
        <v>180</v>
      </c>
      <c r="O135" s="56">
        <v>0</v>
      </c>
    </row>
    <row r="136" spans="1:15" s="25" customFormat="1" x14ac:dyDescent="0.25">
      <c r="A136" s="44" t="s">
        <v>155</v>
      </c>
      <c r="B136" s="45" t="s">
        <v>22</v>
      </c>
      <c r="C136" s="46">
        <v>16</v>
      </c>
      <c r="D136" s="46">
        <v>16</v>
      </c>
      <c r="E136" s="47">
        <v>59.86</v>
      </c>
      <c r="F136" s="46">
        <v>32</v>
      </c>
      <c r="G136" s="46">
        <v>56</v>
      </c>
      <c r="H136" s="47">
        <v>54.8</v>
      </c>
      <c r="I136" s="24">
        <v>0</v>
      </c>
      <c r="J136" s="23" t="s">
        <v>10</v>
      </c>
      <c r="K136" s="23">
        <v>180</v>
      </c>
      <c r="L136" s="25" t="str">
        <f>LOOKUP(J136,[1]Survey_Info!A:A,[1]Survey_Info!G:G)</f>
        <v>ACCUM</v>
      </c>
      <c r="M136" s="25">
        <f>LOOKUP(J136,[1]Survey_Info!A:A,[1]Survey_Info!D:D)</f>
        <v>1200</v>
      </c>
      <c r="N136" s="25">
        <f>LOOKUP(J136,[1]Survey_Info!A:A, [1]Survey_Info!J:J)</f>
        <v>180</v>
      </c>
      <c r="O136" s="25">
        <v>0</v>
      </c>
    </row>
    <row r="137" spans="1:15" s="56" customFormat="1" x14ac:dyDescent="0.25">
      <c r="A137" s="48" t="s">
        <v>200</v>
      </c>
      <c r="B137" s="49" t="s">
        <v>22</v>
      </c>
      <c r="C137" s="50">
        <v>16</v>
      </c>
      <c r="D137" s="50">
        <v>16</v>
      </c>
      <c r="E137" s="51">
        <v>59.86</v>
      </c>
      <c r="F137" s="52">
        <v>32</v>
      </c>
      <c r="G137" s="52">
        <v>57</v>
      </c>
      <c r="H137" s="53">
        <f t="shared" ref="H137:H181" si="3">MOD(H136+10, 60)</f>
        <v>4.7999999999999972</v>
      </c>
      <c r="I137" s="54">
        <v>0</v>
      </c>
      <c r="J137" s="55" t="s">
        <v>10</v>
      </c>
      <c r="K137" s="55">
        <v>270</v>
      </c>
      <c r="L137" s="56" t="str">
        <f>LOOKUP(J137,[1]Survey_Info!A:A,[1]Survey_Info!G:G)</f>
        <v>ACCUM</v>
      </c>
      <c r="M137" s="56">
        <f>LOOKUP(J137,[1]Survey_Info!A:A,[1]Survey_Info!D:D)</f>
        <v>1200</v>
      </c>
      <c r="N137" s="56">
        <f>LOOKUP(J137,[1]Survey_Info!A:A, [1]Survey_Info!J:J)</f>
        <v>180</v>
      </c>
      <c r="O137" s="56">
        <v>0</v>
      </c>
    </row>
    <row r="138" spans="1:15" s="56" customFormat="1" x14ac:dyDescent="0.25">
      <c r="A138" s="48" t="s">
        <v>201</v>
      </c>
      <c r="B138" s="49" t="s">
        <v>22</v>
      </c>
      <c r="C138" s="50">
        <v>16</v>
      </c>
      <c r="D138" s="50">
        <v>16</v>
      </c>
      <c r="E138" s="51">
        <v>59.86</v>
      </c>
      <c r="F138" s="52">
        <v>32</v>
      </c>
      <c r="G138" s="52">
        <v>57</v>
      </c>
      <c r="H138" s="53">
        <f t="shared" si="3"/>
        <v>14.799999999999997</v>
      </c>
      <c r="I138" s="54">
        <v>0</v>
      </c>
      <c r="J138" s="55" t="s">
        <v>10</v>
      </c>
      <c r="K138" s="55">
        <v>272</v>
      </c>
      <c r="L138" s="56" t="str">
        <f>LOOKUP(J138,[1]Survey_Info!A:A,[1]Survey_Info!G:G)</f>
        <v>ACCUM</v>
      </c>
      <c r="M138" s="56">
        <f>LOOKUP(J138,[1]Survey_Info!A:A,[1]Survey_Info!D:D)</f>
        <v>1200</v>
      </c>
      <c r="N138" s="56">
        <f>LOOKUP(J138,[1]Survey_Info!A:A, [1]Survey_Info!J:J)</f>
        <v>180</v>
      </c>
      <c r="O138" s="56">
        <v>0</v>
      </c>
    </row>
    <row r="139" spans="1:15" s="56" customFormat="1" x14ac:dyDescent="0.25">
      <c r="A139" s="48" t="s">
        <v>202</v>
      </c>
      <c r="B139" s="49" t="s">
        <v>22</v>
      </c>
      <c r="C139" s="50">
        <v>16</v>
      </c>
      <c r="D139" s="50">
        <v>16</v>
      </c>
      <c r="E139" s="51">
        <v>59.86</v>
      </c>
      <c r="F139" s="52">
        <v>32</v>
      </c>
      <c r="G139" s="52">
        <v>57</v>
      </c>
      <c r="H139" s="53">
        <f t="shared" si="3"/>
        <v>24.799999999999997</v>
      </c>
      <c r="I139" s="54">
        <v>0</v>
      </c>
      <c r="J139" s="55" t="s">
        <v>10</v>
      </c>
      <c r="K139" s="55">
        <v>274</v>
      </c>
      <c r="L139" s="56" t="str">
        <f>LOOKUP(J139,[1]Survey_Info!A:A,[1]Survey_Info!G:G)</f>
        <v>ACCUM</v>
      </c>
      <c r="M139" s="56">
        <f>LOOKUP(J139,[1]Survey_Info!A:A,[1]Survey_Info!D:D)</f>
        <v>1200</v>
      </c>
      <c r="N139" s="56">
        <f>LOOKUP(J139,[1]Survey_Info!A:A, [1]Survey_Info!J:J)</f>
        <v>180</v>
      </c>
      <c r="O139" s="56">
        <v>0</v>
      </c>
    </row>
    <row r="140" spans="1:15" s="56" customFormat="1" x14ac:dyDescent="0.25">
      <c r="A140" s="48" t="s">
        <v>203</v>
      </c>
      <c r="B140" s="49" t="s">
        <v>22</v>
      </c>
      <c r="C140" s="50">
        <v>16</v>
      </c>
      <c r="D140" s="50">
        <v>16</v>
      </c>
      <c r="E140" s="51">
        <v>59.86</v>
      </c>
      <c r="F140" s="52">
        <v>32</v>
      </c>
      <c r="G140" s="52">
        <v>57</v>
      </c>
      <c r="H140" s="53">
        <f t="shared" si="3"/>
        <v>34.799999999999997</v>
      </c>
      <c r="I140" s="54">
        <v>0</v>
      </c>
      <c r="J140" s="55" t="s">
        <v>10</v>
      </c>
      <c r="K140" s="55">
        <v>276</v>
      </c>
      <c r="L140" s="56" t="str">
        <f>LOOKUP(J140,[1]Survey_Info!A:A,[1]Survey_Info!G:G)</f>
        <v>ACCUM</v>
      </c>
      <c r="M140" s="56">
        <f>LOOKUP(J140,[1]Survey_Info!A:A,[1]Survey_Info!D:D)</f>
        <v>1200</v>
      </c>
      <c r="N140" s="56">
        <f>LOOKUP(J140,[1]Survey_Info!A:A, [1]Survey_Info!J:J)</f>
        <v>180</v>
      </c>
      <c r="O140" s="56">
        <v>0</v>
      </c>
    </row>
    <row r="141" spans="1:15" s="56" customFormat="1" x14ac:dyDescent="0.25">
      <c r="A141" s="48" t="s">
        <v>204</v>
      </c>
      <c r="B141" s="49" t="s">
        <v>22</v>
      </c>
      <c r="C141" s="50">
        <v>16</v>
      </c>
      <c r="D141" s="50">
        <v>16</v>
      </c>
      <c r="E141" s="51">
        <v>59.86</v>
      </c>
      <c r="F141" s="52">
        <v>32</v>
      </c>
      <c r="G141" s="52">
        <v>57</v>
      </c>
      <c r="H141" s="53">
        <f t="shared" si="3"/>
        <v>44.8</v>
      </c>
      <c r="I141" s="54">
        <v>0</v>
      </c>
      <c r="J141" s="55" t="s">
        <v>10</v>
      </c>
      <c r="K141" s="55">
        <v>278</v>
      </c>
      <c r="L141" s="56" t="str">
        <f>LOOKUP(J141,[1]Survey_Info!A:A,[1]Survey_Info!G:G)</f>
        <v>ACCUM</v>
      </c>
      <c r="M141" s="56">
        <f>LOOKUP(J141,[1]Survey_Info!A:A,[1]Survey_Info!D:D)</f>
        <v>1200</v>
      </c>
      <c r="N141" s="56">
        <f>LOOKUP(J141,[1]Survey_Info!A:A, [1]Survey_Info!J:J)</f>
        <v>180</v>
      </c>
      <c r="O141" s="56">
        <v>0</v>
      </c>
    </row>
    <row r="142" spans="1:15" s="56" customFormat="1" x14ac:dyDescent="0.25">
      <c r="A142" s="48" t="s">
        <v>205</v>
      </c>
      <c r="B142" s="49" t="s">
        <v>22</v>
      </c>
      <c r="C142" s="50">
        <v>16</v>
      </c>
      <c r="D142" s="50">
        <v>16</v>
      </c>
      <c r="E142" s="51">
        <v>59.86</v>
      </c>
      <c r="F142" s="52">
        <v>32</v>
      </c>
      <c r="G142" s="52">
        <v>57</v>
      </c>
      <c r="H142" s="53">
        <f t="shared" si="3"/>
        <v>54.8</v>
      </c>
      <c r="I142" s="54">
        <v>0</v>
      </c>
      <c r="J142" s="55" t="s">
        <v>10</v>
      </c>
      <c r="K142" s="55">
        <v>280</v>
      </c>
      <c r="L142" s="56" t="str">
        <f>LOOKUP(J142,[1]Survey_Info!A:A,[1]Survey_Info!G:G)</f>
        <v>ACCUM</v>
      </c>
      <c r="M142" s="56">
        <f>LOOKUP(J142,[1]Survey_Info!A:A,[1]Survey_Info!D:D)</f>
        <v>1200</v>
      </c>
      <c r="N142" s="56">
        <f>LOOKUP(J142,[1]Survey_Info!A:A, [1]Survey_Info!J:J)</f>
        <v>180</v>
      </c>
      <c r="O142" s="56">
        <v>0</v>
      </c>
    </row>
    <row r="143" spans="1:15" s="56" customFormat="1" x14ac:dyDescent="0.25">
      <c r="A143" s="48" t="s">
        <v>206</v>
      </c>
      <c r="B143" s="49" t="s">
        <v>22</v>
      </c>
      <c r="C143" s="50">
        <v>16</v>
      </c>
      <c r="D143" s="50">
        <v>16</v>
      </c>
      <c r="E143" s="51">
        <v>59.86</v>
      </c>
      <c r="F143" s="52">
        <v>32</v>
      </c>
      <c r="G143" s="52">
        <v>58</v>
      </c>
      <c r="H143" s="53">
        <f t="shared" si="3"/>
        <v>4.7999999999999972</v>
      </c>
      <c r="I143" s="54">
        <v>0</v>
      </c>
      <c r="J143" s="55" t="s">
        <v>10</v>
      </c>
      <c r="K143" s="55">
        <v>282</v>
      </c>
      <c r="L143" s="56" t="str">
        <f>LOOKUP(J143,[1]Survey_Info!A:A,[1]Survey_Info!G:G)</f>
        <v>ACCUM</v>
      </c>
      <c r="M143" s="56">
        <f>LOOKUP(J143,[1]Survey_Info!A:A,[1]Survey_Info!D:D)</f>
        <v>1200</v>
      </c>
      <c r="N143" s="56">
        <f>LOOKUP(J143,[1]Survey_Info!A:A, [1]Survey_Info!J:J)</f>
        <v>180</v>
      </c>
      <c r="O143" s="56">
        <v>0</v>
      </c>
    </row>
    <row r="144" spans="1:15" s="56" customFormat="1" x14ac:dyDescent="0.25">
      <c r="A144" s="48" t="s">
        <v>207</v>
      </c>
      <c r="B144" s="49" t="s">
        <v>22</v>
      </c>
      <c r="C144" s="50">
        <v>16</v>
      </c>
      <c r="D144" s="50">
        <v>16</v>
      </c>
      <c r="E144" s="51">
        <v>59.86</v>
      </c>
      <c r="F144" s="52">
        <v>32</v>
      </c>
      <c r="G144" s="52">
        <v>58</v>
      </c>
      <c r="H144" s="53">
        <f t="shared" si="3"/>
        <v>14.799999999999997</v>
      </c>
      <c r="I144" s="54">
        <v>0</v>
      </c>
      <c r="J144" s="55" t="s">
        <v>10</v>
      </c>
      <c r="K144" s="55">
        <v>284</v>
      </c>
      <c r="L144" s="56" t="str">
        <f>LOOKUP(J144,[1]Survey_Info!A:A,[1]Survey_Info!G:G)</f>
        <v>ACCUM</v>
      </c>
      <c r="M144" s="56">
        <f>LOOKUP(J144,[1]Survey_Info!A:A,[1]Survey_Info!D:D)</f>
        <v>1200</v>
      </c>
      <c r="N144" s="56">
        <f>LOOKUP(J144,[1]Survey_Info!A:A, [1]Survey_Info!J:J)</f>
        <v>180</v>
      </c>
      <c r="O144" s="56">
        <v>0</v>
      </c>
    </row>
    <row r="145" spans="1:15" s="56" customFormat="1" x14ac:dyDescent="0.25">
      <c r="A145" s="48" t="s">
        <v>208</v>
      </c>
      <c r="B145" s="49" t="s">
        <v>22</v>
      </c>
      <c r="C145" s="50">
        <v>16</v>
      </c>
      <c r="D145" s="50">
        <v>16</v>
      </c>
      <c r="E145" s="51">
        <v>59.86</v>
      </c>
      <c r="F145" s="52">
        <v>32</v>
      </c>
      <c r="G145" s="52">
        <v>58</v>
      </c>
      <c r="H145" s="53">
        <f t="shared" si="3"/>
        <v>24.799999999999997</v>
      </c>
      <c r="I145" s="54">
        <v>0</v>
      </c>
      <c r="J145" s="55" t="s">
        <v>10</v>
      </c>
      <c r="K145" s="55">
        <v>286</v>
      </c>
      <c r="L145" s="56" t="str">
        <f>LOOKUP(J145,[1]Survey_Info!A:A,[1]Survey_Info!G:G)</f>
        <v>ACCUM</v>
      </c>
      <c r="M145" s="56">
        <f>LOOKUP(J145,[1]Survey_Info!A:A,[1]Survey_Info!D:D)</f>
        <v>1200</v>
      </c>
      <c r="N145" s="56">
        <f>LOOKUP(J145,[1]Survey_Info!A:A, [1]Survey_Info!J:J)</f>
        <v>180</v>
      </c>
      <c r="O145" s="56">
        <v>0</v>
      </c>
    </row>
    <row r="146" spans="1:15" s="56" customFormat="1" x14ac:dyDescent="0.25">
      <c r="A146" s="48" t="s">
        <v>209</v>
      </c>
      <c r="B146" s="49" t="s">
        <v>22</v>
      </c>
      <c r="C146" s="50">
        <v>16</v>
      </c>
      <c r="D146" s="50">
        <v>16</v>
      </c>
      <c r="E146" s="51">
        <v>59.86</v>
      </c>
      <c r="F146" s="52">
        <v>32</v>
      </c>
      <c r="G146" s="52">
        <v>58</v>
      </c>
      <c r="H146" s="53">
        <f t="shared" si="3"/>
        <v>34.799999999999997</v>
      </c>
      <c r="I146" s="54">
        <v>0</v>
      </c>
      <c r="J146" s="55" t="s">
        <v>10</v>
      </c>
      <c r="K146" s="55">
        <v>288</v>
      </c>
      <c r="L146" s="56" t="str">
        <f>LOOKUP(J146,[1]Survey_Info!A:A,[1]Survey_Info!G:G)</f>
        <v>ACCUM</v>
      </c>
      <c r="M146" s="56">
        <f>LOOKUP(J146,[1]Survey_Info!A:A,[1]Survey_Info!D:D)</f>
        <v>1200</v>
      </c>
      <c r="N146" s="56">
        <f>LOOKUP(J146,[1]Survey_Info!A:A, [1]Survey_Info!J:J)</f>
        <v>180</v>
      </c>
      <c r="O146" s="56">
        <v>0</v>
      </c>
    </row>
    <row r="147" spans="1:15" s="56" customFormat="1" x14ac:dyDescent="0.25">
      <c r="A147" s="48" t="s">
        <v>210</v>
      </c>
      <c r="B147" s="49" t="s">
        <v>22</v>
      </c>
      <c r="C147" s="50">
        <v>16</v>
      </c>
      <c r="D147" s="50">
        <v>16</v>
      </c>
      <c r="E147" s="51">
        <v>59.86</v>
      </c>
      <c r="F147" s="52">
        <v>32</v>
      </c>
      <c r="G147" s="52">
        <v>58</v>
      </c>
      <c r="H147" s="53">
        <f t="shared" si="3"/>
        <v>44.8</v>
      </c>
      <c r="I147" s="54">
        <v>0</v>
      </c>
      <c r="J147" s="55" t="s">
        <v>10</v>
      </c>
      <c r="K147" s="55">
        <v>290</v>
      </c>
      <c r="L147" s="56" t="str">
        <f>LOOKUP(J147,[1]Survey_Info!A:A,[1]Survey_Info!G:G)</f>
        <v>ACCUM</v>
      </c>
      <c r="M147" s="56">
        <f>LOOKUP(J147,[1]Survey_Info!A:A,[1]Survey_Info!D:D)</f>
        <v>1200</v>
      </c>
      <c r="N147" s="56">
        <f>LOOKUP(J147,[1]Survey_Info!A:A, [1]Survey_Info!J:J)</f>
        <v>180</v>
      </c>
      <c r="O147" s="56">
        <v>0</v>
      </c>
    </row>
    <row r="148" spans="1:15" s="56" customFormat="1" x14ac:dyDescent="0.25">
      <c r="A148" s="48" t="s">
        <v>211</v>
      </c>
      <c r="B148" s="49" t="s">
        <v>22</v>
      </c>
      <c r="C148" s="50">
        <v>16</v>
      </c>
      <c r="D148" s="50">
        <v>16</v>
      </c>
      <c r="E148" s="51">
        <v>59.86</v>
      </c>
      <c r="F148" s="52">
        <v>32</v>
      </c>
      <c r="G148" s="52">
        <v>58</v>
      </c>
      <c r="H148" s="53">
        <f t="shared" si="3"/>
        <v>54.8</v>
      </c>
      <c r="I148" s="54">
        <v>0</v>
      </c>
      <c r="J148" s="55" t="s">
        <v>10</v>
      </c>
      <c r="K148" s="55">
        <v>292</v>
      </c>
      <c r="L148" s="56" t="str">
        <f>LOOKUP(J148,[1]Survey_Info!A:A,[1]Survey_Info!G:G)</f>
        <v>ACCUM</v>
      </c>
      <c r="M148" s="56">
        <f>LOOKUP(J148,[1]Survey_Info!A:A,[1]Survey_Info!D:D)</f>
        <v>1200</v>
      </c>
      <c r="N148" s="56">
        <f>LOOKUP(J148,[1]Survey_Info!A:A, [1]Survey_Info!J:J)</f>
        <v>180</v>
      </c>
      <c r="O148" s="56">
        <v>0</v>
      </c>
    </row>
    <row r="149" spans="1:15" s="56" customFormat="1" x14ac:dyDescent="0.25">
      <c r="A149" s="48" t="s">
        <v>212</v>
      </c>
      <c r="B149" s="49" t="s">
        <v>22</v>
      </c>
      <c r="C149" s="50">
        <v>16</v>
      </c>
      <c r="D149" s="50">
        <v>16</v>
      </c>
      <c r="E149" s="51">
        <v>59.86</v>
      </c>
      <c r="F149" s="52">
        <v>32</v>
      </c>
      <c r="G149" s="52">
        <v>59</v>
      </c>
      <c r="H149" s="53">
        <f t="shared" si="3"/>
        <v>4.7999999999999972</v>
      </c>
      <c r="I149" s="54">
        <v>0</v>
      </c>
      <c r="J149" s="55" t="s">
        <v>10</v>
      </c>
      <c r="K149" s="55">
        <v>294</v>
      </c>
      <c r="L149" s="56" t="str">
        <f>LOOKUP(J149,[1]Survey_Info!A:A,[1]Survey_Info!G:G)</f>
        <v>ACCUM</v>
      </c>
      <c r="M149" s="56">
        <f>LOOKUP(J149,[1]Survey_Info!A:A,[1]Survey_Info!D:D)</f>
        <v>1200</v>
      </c>
      <c r="N149" s="56">
        <f>LOOKUP(J149,[1]Survey_Info!A:A, [1]Survey_Info!J:J)</f>
        <v>180</v>
      </c>
      <c r="O149" s="56">
        <v>0</v>
      </c>
    </row>
    <row r="150" spans="1:15" s="56" customFormat="1" x14ac:dyDescent="0.25">
      <c r="A150" s="48" t="s">
        <v>213</v>
      </c>
      <c r="B150" s="49" t="s">
        <v>22</v>
      </c>
      <c r="C150" s="50">
        <v>16</v>
      </c>
      <c r="D150" s="50">
        <v>16</v>
      </c>
      <c r="E150" s="51">
        <v>59.86</v>
      </c>
      <c r="F150" s="52">
        <v>32</v>
      </c>
      <c r="G150" s="52">
        <v>59</v>
      </c>
      <c r="H150" s="53">
        <f t="shared" si="3"/>
        <v>14.799999999999997</v>
      </c>
      <c r="I150" s="54">
        <v>0</v>
      </c>
      <c r="J150" s="55" t="s">
        <v>10</v>
      </c>
      <c r="K150" s="55">
        <v>296</v>
      </c>
      <c r="L150" s="56" t="str">
        <f>LOOKUP(J150,[1]Survey_Info!A:A,[1]Survey_Info!G:G)</f>
        <v>ACCUM</v>
      </c>
      <c r="M150" s="56">
        <f>LOOKUP(J150,[1]Survey_Info!A:A,[1]Survey_Info!D:D)</f>
        <v>1200</v>
      </c>
      <c r="N150" s="56">
        <f>LOOKUP(J150,[1]Survey_Info!A:A, [1]Survey_Info!J:J)</f>
        <v>180</v>
      </c>
      <c r="O150" s="56">
        <v>0</v>
      </c>
    </row>
    <row r="151" spans="1:15" s="56" customFormat="1" x14ac:dyDescent="0.25">
      <c r="A151" s="48" t="s">
        <v>214</v>
      </c>
      <c r="B151" s="49" t="s">
        <v>22</v>
      </c>
      <c r="C151" s="50">
        <v>16</v>
      </c>
      <c r="D151" s="50">
        <v>16</v>
      </c>
      <c r="E151" s="51">
        <v>59.86</v>
      </c>
      <c r="F151" s="52">
        <v>32</v>
      </c>
      <c r="G151" s="52">
        <v>59</v>
      </c>
      <c r="H151" s="53">
        <f t="shared" si="3"/>
        <v>24.799999999999997</v>
      </c>
      <c r="I151" s="54">
        <v>0</v>
      </c>
      <c r="J151" s="55" t="s">
        <v>10</v>
      </c>
      <c r="K151" s="55">
        <v>298</v>
      </c>
      <c r="L151" s="56" t="str">
        <f>LOOKUP(J151,[1]Survey_Info!A:A,[1]Survey_Info!G:G)</f>
        <v>ACCUM</v>
      </c>
      <c r="M151" s="56">
        <f>LOOKUP(J151,[1]Survey_Info!A:A,[1]Survey_Info!D:D)</f>
        <v>1200</v>
      </c>
      <c r="N151" s="56">
        <f>LOOKUP(J151,[1]Survey_Info!A:A, [1]Survey_Info!J:J)</f>
        <v>180</v>
      </c>
      <c r="O151" s="56">
        <v>0</v>
      </c>
    </row>
    <row r="152" spans="1:15" s="56" customFormat="1" x14ac:dyDescent="0.25">
      <c r="A152" s="48" t="s">
        <v>215</v>
      </c>
      <c r="B152" s="49" t="s">
        <v>22</v>
      </c>
      <c r="C152" s="50">
        <v>16</v>
      </c>
      <c r="D152" s="50">
        <v>16</v>
      </c>
      <c r="E152" s="51">
        <v>59.86</v>
      </c>
      <c r="F152" s="52">
        <v>32</v>
      </c>
      <c r="G152" s="52">
        <v>59</v>
      </c>
      <c r="H152" s="53">
        <f t="shared" si="3"/>
        <v>34.799999999999997</v>
      </c>
      <c r="I152" s="54">
        <v>0</v>
      </c>
      <c r="J152" s="55" t="s">
        <v>10</v>
      </c>
      <c r="K152" s="55">
        <v>300</v>
      </c>
      <c r="L152" s="56" t="str">
        <f>LOOKUP(J152,[1]Survey_Info!A:A,[1]Survey_Info!G:G)</f>
        <v>ACCUM</v>
      </c>
      <c r="M152" s="56">
        <f>LOOKUP(J152,[1]Survey_Info!A:A,[1]Survey_Info!D:D)</f>
        <v>1200</v>
      </c>
      <c r="N152" s="56">
        <f>LOOKUP(J152,[1]Survey_Info!A:A, [1]Survey_Info!J:J)</f>
        <v>180</v>
      </c>
      <c r="O152" s="56">
        <v>0</v>
      </c>
    </row>
    <row r="153" spans="1:15" s="56" customFormat="1" x14ac:dyDescent="0.25">
      <c r="A153" s="48" t="s">
        <v>216</v>
      </c>
      <c r="B153" s="49" t="s">
        <v>22</v>
      </c>
      <c r="C153" s="50">
        <v>16</v>
      </c>
      <c r="D153" s="50">
        <v>16</v>
      </c>
      <c r="E153" s="51">
        <v>59.86</v>
      </c>
      <c r="F153" s="52">
        <v>32</v>
      </c>
      <c r="G153" s="52">
        <v>59</v>
      </c>
      <c r="H153" s="53">
        <f t="shared" si="3"/>
        <v>44.8</v>
      </c>
      <c r="I153" s="54">
        <v>0</v>
      </c>
      <c r="J153" s="55" t="s">
        <v>10</v>
      </c>
      <c r="K153" s="55">
        <v>302</v>
      </c>
      <c r="L153" s="56" t="str">
        <f>LOOKUP(J153,[1]Survey_Info!A:A,[1]Survey_Info!G:G)</f>
        <v>ACCUM</v>
      </c>
      <c r="M153" s="56">
        <f>LOOKUP(J153,[1]Survey_Info!A:A,[1]Survey_Info!D:D)</f>
        <v>1200</v>
      </c>
      <c r="N153" s="56">
        <f>LOOKUP(J153,[1]Survey_Info!A:A, [1]Survey_Info!J:J)</f>
        <v>180</v>
      </c>
      <c r="O153" s="56">
        <v>0</v>
      </c>
    </row>
    <row r="154" spans="1:15" s="56" customFormat="1" x14ac:dyDescent="0.25">
      <c r="A154" s="48" t="s">
        <v>217</v>
      </c>
      <c r="B154" s="49" t="s">
        <v>22</v>
      </c>
      <c r="C154" s="50">
        <v>16</v>
      </c>
      <c r="D154" s="50">
        <v>16</v>
      </c>
      <c r="E154" s="51">
        <v>59.86</v>
      </c>
      <c r="F154" s="52">
        <v>32</v>
      </c>
      <c r="G154" s="52">
        <v>59</v>
      </c>
      <c r="H154" s="53">
        <f t="shared" si="3"/>
        <v>54.8</v>
      </c>
      <c r="I154" s="54">
        <v>0</v>
      </c>
      <c r="J154" s="55" t="s">
        <v>10</v>
      </c>
      <c r="K154" s="55">
        <v>304</v>
      </c>
      <c r="L154" s="56" t="str">
        <f>LOOKUP(J154,[1]Survey_Info!A:A,[1]Survey_Info!G:G)</f>
        <v>ACCUM</v>
      </c>
      <c r="M154" s="56">
        <f>LOOKUP(J154,[1]Survey_Info!A:A,[1]Survey_Info!D:D)</f>
        <v>1200</v>
      </c>
      <c r="N154" s="56">
        <f>LOOKUP(J154,[1]Survey_Info!A:A, [1]Survey_Info!J:J)</f>
        <v>180</v>
      </c>
      <c r="O154" s="56">
        <v>0</v>
      </c>
    </row>
    <row r="155" spans="1:15" s="56" customFormat="1" x14ac:dyDescent="0.25">
      <c r="A155" s="48" t="s">
        <v>218</v>
      </c>
      <c r="B155" s="49" t="s">
        <v>22</v>
      </c>
      <c r="C155" s="50">
        <v>16</v>
      </c>
      <c r="D155" s="50">
        <v>16</v>
      </c>
      <c r="E155" s="51">
        <v>59.86</v>
      </c>
      <c r="F155" s="52">
        <v>33</v>
      </c>
      <c r="G155" s="52">
        <v>1</v>
      </c>
      <c r="H155" s="53">
        <f t="shared" si="3"/>
        <v>4.7999999999999972</v>
      </c>
      <c r="I155" s="54">
        <v>0</v>
      </c>
      <c r="J155" s="55" t="s">
        <v>10</v>
      </c>
      <c r="K155" s="55">
        <v>306</v>
      </c>
      <c r="L155" s="56" t="str">
        <f>LOOKUP(J155,[1]Survey_Info!A:A,[1]Survey_Info!G:G)</f>
        <v>ACCUM</v>
      </c>
      <c r="M155" s="56">
        <f>LOOKUP(J155,[1]Survey_Info!A:A,[1]Survey_Info!D:D)</f>
        <v>1200</v>
      </c>
      <c r="N155" s="56">
        <f>LOOKUP(J155,[1]Survey_Info!A:A, [1]Survey_Info!J:J)</f>
        <v>180</v>
      </c>
      <c r="O155" s="56">
        <v>0</v>
      </c>
    </row>
    <row r="156" spans="1:15" s="56" customFormat="1" x14ac:dyDescent="0.25">
      <c r="A156" s="48" t="s">
        <v>219</v>
      </c>
      <c r="B156" s="49" t="s">
        <v>22</v>
      </c>
      <c r="C156" s="50">
        <v>16</v>
      </c>
      <c r="D156" s="50">
        <v>16</v>
      </c>
      <c r="E156" s="51">
        <v>59.86</v>
      </c>
      <c r="F156" s="52">
        <v>33</v>
      </c>
      <c r="G156" s="52">
        <v>1</v>
      </c>
      <c r="H156" s="53">
        <f t="shared" si="3"/>
        <v>14.799999999999997</v>
      </c>
      <c r="I156" s="54">
        <v>0</v>
      </c>
      <c r="J156" s="55" t="s">
        <v>10</v>
      </c>
      <c r="K156" s="55">
        <v>308</v>
      </c>
      <c r="L156" s="56" t="str">
        <f>LOOKUP(J156,[1]Survey_Info!A:A,[1]Survey_Info!G:G)</f>
        <v>ACCUM</v>
      </c>
      <c r="M156" s="56">
        <f>LOOKUP(J156,[1]Survey_Info!A:A,[1]Survey_Info!D:D)</f>
        <v>1200</v>
      </c>
      <c r="N156" s="56">
        <f>LOOKUP(J156,[1]Survey_Info!A:A, [1]Survey_Info!J:J)</f>
        <v>180</v>
      </c>
      <c r="O156" s="56">
        <v>0</v>
      </c>
    </row>
    <row r="157" spans="1:15" s="56" customFormat="1" x14ac:dyDescent="0.25">
      <c r="A157" s="48" t="s">
        <v>220</v>
      </c>
      <c r="B157" s="49" t="s">
        <v>22</v>
      </c>
      <c r="C157" s="50">
        <v>16</v>
      </c>
      <c r="D157" s="50">
        <v>16</v>
      </c>
      <c r="E157" s="51">
        <v>59.86</v>
      </c>
      <c r="F157" s="52">
        <v>33</v>
      </c>
      <c r="G157" s="52">
        <v>1</v>
      </c>
      <c r="H157" s="53">
        <f t="shared" si="3"/>
        <v>24.799999999999997</v>
      </c>
      <c r="I157" s="54">
        <v>0</v>
      </c>
      <c r="J157" s="55" t="s">
        <v>10</v>
      </c>
      <c r="K157" s="55">
        <v>310</v>
      </c>
      <c r="L157" s="56" t="str">
        <f>LOOKUP(J157,[1]Survey_Info!A:A,[1]Survey_Info!G:G)</f>
        <v>ACCUM</v>
      </c>
      <c r="M157" s="56">
        <f>LOOKUP(J157,[1]Survey_Info!A:A,[1]Survey_Info!D:D)</f>
        <v>1200</v>
      </c>
      <c r="N157" s="56">
        <f>LOOKUP(J157,[1]Survey_Info!A:A, [1]Survey_Info!J:J)</f>
        <v>180</v>
      </c>
      <c r="O157" s="56">
        <v>0</v>
      </c>
    </row>
    <row r="158" spans="1:15" s="56" customFormat="1" x14ac:dyDescent="0.25">
      <c r="A158" s="48" t="s">
        <v>221</v>
      </c>
      <c r="B158" s="49" t="s">
        <v>22</v>
      </c>
      <c r="C158" s="50">
        <v>16</v>
      </c>
      <c r="D158" s="50">
        <v>16</v>
      </c>
      <c r="E158" s="51">
        <v>59.86</v>
      </c>
      <c r="F158" s="52">
        <v>33</v>
      </c>
      <c r="G158" s="52">
        <v>1</v>
      </c>
      <c r="H158" s="53">
        <f t="shared" si="3"/>
        <v>34.799999999999997</v>
      </c>
      <c r="I158" s="54">
        <v>0</v>
      </c>
      <c r="J158" s="55" t="s">
        <v>10</v>
      </c>
      <c r="K158" s="55">
        <v>312</v>
      </c>
      <c r="L158" s="56" t="str">
        <f>LOOKUP(J158,[1]Survey_Info!A:A,[1]Survey_Info!G:G)</f>
        <v>ACCUM</v>
      </c>
      <c r="M158" s="56">
        <f>LOOKUP(J158,[1]Survey_Info!A:A,[1]Survey_Info!D:D)</f>
        <v>1200</v>
      </c>
      <c r="N158" s="56">
        <f>LOOKUP(J158,[1]Survey_Info!A:A, [1]Survey_Info!J:J)</f>
        <v>180</v>
      </c>
      <c r="O158" s="56">
        <v>0</v>
      </c>
    </row>
    <row r="159" spans="1:15" s="56" customFormat="1" x14ac:dyDescent="0.25">
      <c r="A159" s="48" t="s">
        <v>222</v>
      </c>
      <c r="B159" s="49" t="s">
        <v>22</v>
      </c>
      <c r="C159" s="50">
        <v>16</v>
      </c>
      <c r="D159" s="50">
        <v>16</v>
      </c>
      <c r="E159" s="51">
        <v>59.86</v>
      </c>
      <c r="F159" s="52">
        <v>33</v>
      </c>
      <c r="G159" s="52">
        <v>1</v>
      </c>
      <c r="H159" s="53">
        <f t="shared" si="3"/>
        <v>44.8</v>
      </c>
      <c r="I159" s="54">
        <v>0</v>
      </c>
      <c r="J159" s="55" t="s">
        <v>10</v>
      </c>
      <c r="K159" s="55">
        <v>314</v>
      </c>
      <c r="L159" s="56" t="str">
        <f>LOOKUP(J159,[1]Survey_Info!A:A,[1]Survey_Info!G:G)</f>
        <v>ACCUM</v>
      </c>
      <c r="M159" s="56">
        <f>LOOKUP(J159,[1]Survey_Info!A:A,[1]Survey_Info!D:D)</f>
        <v>1200</v>
      </c>
      <c r="N159" s="56">
        <f>LOOKUP(J159,[1]Survey_Info!A:A, [1]Survey_Info!J:J)</f>
        <v>180</v>
      </c>
      <c r="O159" s="56">
        <v>0</v>
      </c>
    </row>
    <row r="160" spans="1:15" s="56" customFormat="1" x14ac:dyDescent="0.25">
      <c r="A160" s="48" t="s">
        <v>223</v>
      </c>
      <c r="B160" s="49" t="s">
        <v>22</v>
      </c>
      <c r="C160" s="50">
        <v>16</v>
      </c>
      <c r="D160" s="50">
        <v>16</v>
      </c>
      <c r="E160" s="51">
        <v>59.86</v>
      </c>
      <c r="F160" s="52">
        <v>33</v>
      </c>
      <c r="G160" s="52">
        <v>1</v>
      </c>
      <c r="H160" s="53">
        <f t="shared" si="3"/>
        <v>54.8</v>
      </c>
      <c r="I160" s="54">
        <v>0</v>
      </c>
      <c r="J160" s="55" t="s">
        <v>10</v>
      </c>
      <c r="K160" s="55">
        <v>316</v>
      </c>
      <c r="L160" s="56" t="str">
        <f>LOOKUP(J160,[1]Survey_Info!A:A,[1]Survey_Info!G:G)</f>
        <v>ACCUM</v>
      </c>
      <c r="M160" s="56">
        <f>LOOKUP(J160,[1]Survey_Info!A:A,[1]Survey_Info!D:D)</f>
        <v>1200</v>
      </c>
      <c r="N160" s="56">
        <f>LOOKUP(J160,[1]Survey_Info!A:A, [1]Survey_Info!J:J)</f>
        <v>180</v>
      </c>
      <c r="O160" s="56">
        <v>0</v>
      </c>
    </row>
    <row r="161" spans="1:15" s="56" customFormat="1" x14ac:dyDescent="0.25">
      <c r="A161" s="48" t="s">
        <v>224</v>
      </c>
      <c r="B161" s="49" t="s">
        <v>22</v>
      </c>
      <c r="C161" s="50">
        <v>16</v>
      </c>
      <c r="D161" s="50">
        <v>16</v>
      </c>
      <c r="E161" s="51">
        <v>59.86</v>
      </c>
      <c r="F161" s="52">
        <v>33</v>
      </c>
      <c r="G161" s="52">
        <v>2</v>
      </c>
      <c r="H161" s="53">
        <f t="shared" si="3"/>
        <v>4.7999999999999972</v>
      </c>
      <c r="I161" s="54">
        <v>0</v>
      </c>
      <c r="J161" s="55" t="s">
        <v>10</v>
      </c>
      <c r="K161" s="55">
        <v>318</v>
      </c>
      <c r="L161" s="56" t="str">
        <f>LOOKUP(J161,[1]Survey_Info!A:A,[1]Survey_Info!G:G)</f>
        <v>ACCUM</v>
      </c>
      <c r="M161" s="56">
        <f>LOOKUP(J161,[1]Survey_Info!A:A,[1]Survey_Info!D:D)</f>
        <v>1200</v>
      </c>
      <c r="N161" s="56">
        <f>LOOKUP(J161,[1]Survey_Info!A:A, [1]Survey_Info!J:J)</f>
        <v>180</v>
      </c>
      <c r="O161" s="56">
        <v>0</v>
      </c>
    </row>
    <row r="162" spans="1:15" s="56" customFormat="1" x14ac:dyDescent="0.25">
      <c r="A162" s="48" t="s">
        <v>225</v>
      </c>
      <c r="B162" s="49" t="s">
        <v>22</v>
      </c>
      <c r="C162" s="50">
        <v>16</v>
      </c>
      <c r="D162" s="50">
        <v>16</v>
      </c>
      <c r="E162" s="51">
        <v>59.86</v>
      </c>
      <c r="F162" s="52">
        <v>33</v>
      </c>
      <c r="G162" s="52">
        <v>2</v>
      </c>
      <c r="H162" s="53">
        <f t="shared" si="3"/>
        <v>14.799999999999997</v>
      </c>
      <c r="I162" s="54">
        <v>0</v>
      </c>
      <c r="J162" s="55" t="s">
        <v>10</v>
      </c>
      <c r="K162" s="55">
        <v>320</v>
      </c>
      <c r="L162" s="56" t="str">
        <f>LOOKUP(J162,[1]Survey_Info!A:A,[1]Survey_Info!G:G)</f>
        <v>ACCUM</v>
      </c>
      <c r="M162" s="56">
        <f>LOOKUP(J162,[1]Survey_Info!A:A,[1]Survey_Info!D:D)</f>
        <v>1200</v>
      </c>
      <c r="N162" s="56">
        <f>LOOKUP(J162,[1]Survey_Info!A:A, [1]Survey_Info!J:J)</f>
        <v>180</v>
      </c>
      <c r="O162" s="56">
        <v>0</v>
      </c>
    </row>
    <row r="163" spans="1:15" s="56" customFormat="1" x14ac:dyDescent="0.25">
      <c r="A163" s="48" t="s">
        <v>226</v>
      </c>
      <c r="B163" s="49" t="s">
        <v>22</v>
      </c>
      <c r="C163" s="50">
        <v>16</v>
      </c>
      <c r="D163" s="50">
        <v>16</v>
      </c>
      <c r="E163" s="51">
        <v>59.86</v>
      </c>
      <c r="F163" s="52">
        <v>33</v>
      </c>
      <c r="G163" s="52">
        <v>2</v>
      </c>
      <c r="H163" s="53">
        <f t="shared" si="3"/>
        <v>24.799999999999997</v>
      </c>
      <c r="I163" s="54">
        <v>0</v>
      </c>
      <c r="J163" s="55" t="s">
        <v>10</v>
      </c>
      <c r="K163" s="55">
        <v>322</v>
      </c>
      <c r="L163" s="56" t="str">
        <f>LOOKUP(J163,[1]Survey_Info!A:A,[1]Survey_Info!G:G)</f>
        <v>ACCUM</v>
      </c>
      <c r="M163" s="56">
        <f>LOOKUP(J163,[1]Survey_Info!A:A,[1]Survey_Info!D:D)</f>
        <v>1200</v>
      </c>
      <c r="N163" s="56">
        <f>LOOKUP(J163,[1]Survey_Info!A:A, [1]Survey_Info!J:J)</f>
        <v>180</v>
      </c>
      <c r="O163" s="56">
        <v>0</v>
      </c>
    </row>
    <row r="164" spans="1:15" s="56" customFormat="1" x14ac:dyDescent="0.25">
      <c r="A164" s="48" t="s">
        <v>227</v>
      </c>
      <c r="B164" s="49" t="s">
        <v>22</v>
      </c>
      <c r="C164" s="50">
        <v>16</v>
      </c>
      <c r="D164" s="50">
        <v>16</v>
      </c>
      <c r="E164" s="51">
        <v>59.86</v>
      </c>
      <c r="F164" s="52">
        <v>33</v>
      </c>
      <c r="G164" s="52">
        <v>2</v>
      </c>
      <c r="H164" s="53">
        <f t="shared" si="3"/>
        <v>34.799999999999997</v>
      </c>
      <c r="I164" s="54">
        <v>0</v>
      </c>
      <c r="J164" s="55" t="s">
        <v>10</v>
      </c>
      <c r="K164" s="55">
        <v>324</v>
      </c>
      <c r="L164" s="56" t="str">
        <f>LOOKUP(J164,[1]Survey_Info!A:A,[1]Survey_Info!G:G)</f>
        <v>ACCUM</v>
      </c>
      <c r="M164" s="56">
        <f>LOOKUP(J164,[1]Survey_Info!A:A,[1]Survey_Info!D:D)</f>
        <v>1200</v>
      </c>
      <c r="N164" s="56">
        <f>LOOKUP(J164,[1]Survey_Info!A:A, [1]Survey_Info!J:J)</f>
        <v>180</v>
      </c>
      <c r="O164" s="56">
        <v>0</v>
      </c>
    </row>
    <row r="165" spans="1:15" s="56" customFormat="1" x14ac:dyDescent="0.25">
      <c r="A165" s="48" t="s">
        <v>228</v>
      </c>
      <c r="B165" s="49" t="s">
        <v>22</v>
      </c>
      <c r="C165" s="50">
        <v>16</v>
      </c>
      <c r="D165" s="50">
        <v>16</v>
      </c>
      <c r="E165" s="51">
        <v>59.86</v>
      </c>
      <c r="F165" s="52">
        <v>33</v>
      </c>
      <c r="G165" s="52">
        <v>2</v>
      </c>
      <c r="H165" s="53">
        <f t="shared" si="3"/>
        <v>44.8</v>
      </c>
      <c r="I165" s="54">
        <v>0</v>
      </c>
      <c r="J165" s="55" t="s">
        <v>10</v>
      </c>
      <c r="K165" s="55">
        <v>326</v>
      </c>
      <c r="L165" s="56" t="str">
        <f>LOOKUP(J165,[1]Survey_Info!A:A,[1]Survey_Info!G:G)</f>
        <v>ACCUM</v>
      </c>
      <c r="M165" s="56">
        <f>LOOKUP(J165,[1]Survey_Info!A:A,[1]Survey_Info!D:D)</f>
        <v>1200</v>
      </c>
      <c r="N165" s="56">
        <f>LOOKUP(J165,[1]Survey_Info!A:A, [1]Survey_Info!J:J)</f>
        <v>180</v>
      </c>
      <c r="O165" s="56">
        <v>0</v>
      </c>
    </row>
    <row r="166" spans="1:15" s="56" customFormat="1" x14ac:dyDescent="0.25">
      <c r="A166" s="48" t="s">
        <v>229</v>
      </c>
      <c r="B166" s="49" t="s">
        <v>22</v>
      </c>
      <c r="C166" s="50">
        <v>16</v>
      </c>
      <c r="D166" s="50">
        <v>16</v>
      </c>
      <c r="E166" s="51">
        <v>59.86</v>
      </c>
      <c r="F166" s="52">
        <v>33</v>
      </c>
      <c r="G166" s="52">
        <v>2</v>
      </c>
      <c r="H166" s="53">
        <f t="shared" si="3"/>
        <v>54.8</v>
      </c>
      <c r="I166" s="54">
        <v>0</v>
      </c>
      <c r="J166" s="55" t="s">
        <v>10</v>
      </c>
      <c r="K166" s="55">
        <v>328</v>
      </c>
      <c r="L166" s="56" t="str">
        <f>LOOKUP(J166,[1]Survey_Info!A:A,[1]Survey_Info!G:G)</f>
        <v>ACCUM</v>
      </c>
      <c r="M166" s="56">
        <f>LOOKUP(J166,[1]Survey_Info!A:A,[1]Survey_Info!D:D)</f>
        <v>1200</v>
      </c>
      <c r="N166" s="56">
        <f>LOOKUP(J166,[1]Survey_Info!A:A, [1]Survey_Info!J:J)</f>
        <v>180</v>
      </c>
      <c r="O166" s="56">
        <v>0</v>
      </c>
    </row>
    <row r="167" spans="1:15" s="56" customFormat="1" x14ac:dyDescent="0.25">
      <c r="A167" s="48" t="s">
        <v>230</v>
      </c>
      <c r="B167" s="49" t="s">
        <v>22</v>
      </c>
      <c r="C167" s="50">
        <v>16</v>
      </c>
      <c r="D167" s="50">
        <v>16</v>
      </c>
      <c r="E167" s="51">
        <v>59.86</v>
      </c>
      <c r="F167" s="52">
        <v>33</v>
      </c>
      <c r="G167" s="52">
        <v>3</v>
      </c>
      <c r="H167" s="53">
        <f t="shared" si="3"/>
        <v>4.7999999999999972</v>
      </c>
      <c r="I167" s="54">
        <v>0</v>
      </c>
      <c r="J167" s="55" t="s">
        <v>10</v>
      </c>
      <c r="K167" s="55">
        <v>330</v>
      </c>
      <c r="L167" s="56" t="str">
        <f>LOOKUP(J167,[1]Survey_Info!A:A,[1]Survey_Info!G:G)</f>
        <v>ACCUM</v>
      </c>
      <c r="M167" s="56">
        <f>LOOKUP(J167,[1]Survey_Info!A:A,[1]Survey_Info!D:D)</f>
        <v>1200</v>
      </c>
      <c r="N167" s="56">
        <f>LOOKUP(J167,[1]Survey_Info!A:A, [1]Survey_Info!J:J)</f>
        <v>180</v>
      </c>
      <c r="O167" s="56">
        <v>0</v>
      </c>
    </row>
    <row r="168" spans="1:15" s="56" customFormat="1" x14ac:dyDescent="0.25">
      <c r="A168" s="48" t="s">
        <v>231</v>
      </c>
      <c r="B168" s="49" t="s">
        <v>22</v>
      </c>
      <c r="C168" s="50">
        <v>16</v>
      </c>
      <c r="D168" s="50">
        <v>16</v>
      </c>
      <c r="E168" s="51">
        <v>59.86</v>
      </c>
      <c r="F168" s="52">
        <v>33</v>
      </c>
      <c r="G168" s="52">
        <v>4</v>
      </c>
      <c r="H168" s="53">
        <f t="shared" si="3"/>
        <v>14.799999999999997</v>
      </c>
      <c r="I168" s="54">
        <v>0</v>
      </c>
      <c r="J168" s="55" t="s">
        <v>10</v>
      </c>
      <c r="K168" s="55">
        <v>332</v>
      </c>
      <c r="L168" s="56" t="str">
        <f>LOOKUP(J168,[1]Survey_Info!A:A,[1]Survey_Info!G:G)</f>
        <v>ACCUM</v>
      </c>
      <c r="M168" s="56">
        <f>LOOKUP(J168,[1]Survey_Info!A:A,[1]Survey_Info!D:D)</f>
        <v>1200</v>
      </c>
      <c r="N168" s="56">
        <f>LOOKUP(J168,[1]Survey_Info!A:A, [1]Survey_Info!J:J)</f>
        <v>180</v>
      </c>
      <c r="O168" s="56">
        <v>0</v>
      </c>
    </row>
    <row r="169" spans="1:15" s="56" customFormat="1" x14ac:dyDescent="0.25">
      <c r="A169" s="48" t="s">
        <v>232</v>
      </c>
      <c r="B169" s="49" t="s">
        <v>22</v>
      </c>
      <c r="C169" s="50">
        <v>16</v>
      </c>
      <c r="D169" s="50">
        <v>16</v>
      </c>
      <c r="E169" s="51">
        <v>59.86</v>
      </c>
      <c r="F169" s="52">
        <v>33</v>
      </c>
      <c r="G169" s="52">
        <v>4</v>
      </c>
      <c r="H169" s="53">
        <f t="shared" si="3"/>
        <v>24.799999999999997</v>
      </c>
      <c r="I169" s="54">
        <v>0</v>
      </c>
      <c r="J169" s="55" t="s">
        <v>10</v>
      </c>
      <c r="K169" s="55">
        <v>334</v>
      </c>
      <c r="L169" s="56" t="str">
        <f>LOOKUP(J169,[1]Survey_Info!A:A,[1]Survey_Info!G:G)</f>
        <v>ACCUM</v>
      </c>
      <c r="M169" s="56">
        <f>LOOKUP(J169,[1]Survey_Info!A:A,[1]Survey_Info!D:D)</f>
        <v>1200</v>
      </c>
      <c r="N169" s="56">
        <f>LOOKUP(J169,[1]Survey_Info!A:A, [1]Survey_Info!J:J)</f>
        <v>180</v>
      </c>
      <c r="O169" s="56">
        <v>0</v>
      </c>
    </row>
    <row r="170" spans="1:15" s="56" customFormat="1" x14ac:dyDescent="0.25">
      <c r="A170" s="48" t="s">
        <v>233</v>
      </c>
      <c r="B170" s="49" t="s">
        <v>22</v>
      </c>
      <c r="C170" s="50">
        <v>16</v>
      </c>
      <c r="D170" s="50">
        <v>16</v>
      </c>
      <c r="E170" s="51">
        <v>59.86</v>
      </c>
      <c r="F170" s="52">
        <v>33</v>
      </c>
      <c r="G170" s="52">
        <v>4</v>
      </c>
      <c r="H170" s="53">
        <f t="shared" si="3"/>
        <v>34.799999999999997</v>
      </c>
      <c r="I170" s="54">
        <v>0</v>
      </c>
      <c r="J170" s="55" t="s">
        <v>10</v>
      </c>
      <c r="K170" s="55">
        <v>336</v>
      </c>
      <c r="L170" s="56" t="str">
        <f>LOOKUP(J170,[1]Survey_Info!A:A,[1]Survey_Info!G:G)</f>
        <v>ACCUM</v>
      </c>
      <c r="M170" s="56">
        <f>LOOKUP(J170,[1]Survey_Info!A:A,[1]Survey_Info!D:D)</f>
        <v>1200</v>
      </c>
      <c r="N170" s="56">
        <f>LOOKUP(J170,[1]Survey_Info!A:A, [1]Survey_Info!J:J)</f>
        <v>180</v>
      </c>
      <c r="O170" s="56">
        <v>0</v>
      </c>
    </row>
    <row r="171" spans="1:15" s="56" customFormat="1" x14ac:dyDescent="0.25">
      <c r="A171" s="48" t="s">
        <v>234</v>
      </c>
      <c r="B171" s="49" t="s">
        <v>22</v>
      </c>
      <c r="C171" s="50">
        <v>16</v>
      </c>
      <c r="D171" s="50">
        <v>16</v>
      </c>
      <c r="E171" s="51">
        <v>59.86</v>
      </c>
      <c r="F171" s="52">
        <v>33</v>
      </c>
      <c r="G171" s="52">
        <v>4</v>
      </c>
      <c r="H171" s="53">
        <f t="shared" si="3"/>
        <v>44.8</v>
      </c>
      <c r="I171" s="54">
        <v>0</v>
      </c>
      <c r="J171" s="55" t="s">
        <v>10</v>
      </c>
      <c r="K171" s="55">
        <v>338</v>
      </c>
      <c r="L171" s="56" t="str">
        <f>LOOKUP(J171,[1]Survey_Info!A:A,[1]Survey_Info!G:G)</f>
        <v>ACCUM</v>
      </c>
      <c r="M171" s="56">
        <f>LOOKUP(J171,[1]Survey_Info!A:A,[1]Survey_Info!D:D)</f>
        <v>1200</v>
      </c>
      <c r="N171" s="56">
        <f>LOOKUP(J171,[1]Survey_Info!A:A, [1]Survey_Info!J:J)</f>
        <v>180</v>
      </c>
      <c r="O171" s="56">
        <v>0</v>
      </c>
    </row>
    <row r="172" spans="1:15" s="56" customFormat="1" x14ac:dyDescent="0.25">
      <c r="A172" s="48" t="s">
        <v>235</v>
      </c>
      <c r="B172" s="49" t="s">
        <v>22</v>
      </c>
      <c r="C172" s="50">
        <v>16</v>
      </c>
      <c r="D172" s="50">
        <v>16</v>
      </c>
      <c r="E172" s="51">
        <v>59.86</v>
      </c>
      <c r="F172" s="52">
        <v>33</v>
      </c>
      <c r="G172" s="52">
        <v>4</v>
      </c>
      <c r="H172" s="53">
        <f t="shared" si="3"/>
        <v>54.8</v>
      </c>
      <c r="I172" s="54">
        <v>0</v>
      </c>
      <c r="J172" s="55" t="s">
        <v>10</v>
      </c>
      <c r="K172" s="55">
        <v>340</v>
      </c>
      <c r="L172" s="56" t="str">
        <f>LOOKUP(J172,[1]Survey_Info!A:A,[1]Survey_Info!G:G)</f>
        <v>ACCUM</v>
      </c>
      <c r="M172" s="56">
        <f>LOOKUP(J172,[1]Survey_Info!A:A,[1]Survey_Info!D:D)</f>
        <v>1200</v>
      </c>
      <c r="N172" s="56">
        <f>LOOKUP(J172,[1]Survey_Info!A:A, [1]Survey_Info!J:J)</f>
        <v>180</v>
      </c>
      <c r="O172" s="56">
        <v>0</v>
      </c>
    </row>
    <row r="173" spans="1:15" s="56" customFormat="1" x14ac:dyDescent="0.25">
      <c r="A173" s="48" t="s">
        <v>236</v>
      </c>
      <c r="B173" s="49" t="s">
        <v>22</v>
      </c>
      <c r="C173" s="50">
        <v>16</v>
      </c>
      <c r="D173" s="50">
        <v>16</v>
      </c>
      <c r="E173" s="51">
        <v>59.86</v>
      </c>
      <c r="F173" s="52">
        <v>33</v>
      </c>
      <c r="G173" s="52">
        <v>5</v>
      </c>
      <c r="H173" s="53">
        <f t="shared" si="3"/>
        <v>4.7999999999999972</v>
      </c>
      <c r="I173" s="54">
        <v>0</v>
      </c>
      <c r="J173" s="55" t="s">
        <v>10</v>
      </c>
      <c r="K173" s="55">
        <v>342</v>
      </c>
      <c r="L173" s="56" t="str">
        <f>LOOKUP(J173,[1]Survey_Info!A:A,[1]Survey_Info!G:G)</f>
        <v>ACCUM</v>
      </c>
      <c r="M173" s="56">
        <f>LOOKUP(J173,[1]Survey_Info!A:A,[1]Survey_Info!D:D)</f>
        <v>1200</v>
      </c>
      <c r="N173" s="56">
        <f>LOOKUP(J173,[1]Survey_Info!A:A, [1]Survey_Info!J:J)</f>
        <v>180</v>
      </c>
      <c r="O173" s="56">
        <v>0</v>
      </c>
    </row>
    <row r="174" spans="1:15" s="56" customFormat="1" x14ac:dyDescent="0.25">
      <c r="A174" s="48" t="s">
        <v>237</v>
      </c>
      <c r="B174" s="49" t="s">
        <v>22</v>
      </c>
      <c r="C174" s="50">
        <v>16</v>
      </c>
      <c r="D174" s="50">
        <v>16</v>
      </c>
      <c r="E174" s="51">
        <v>59.86</v>
      </c>
      <c r="F174" s="52">
        <v>33</v>
      </c>
      <c r="G174" s="52">
        <v>5</v>
      </c>
      <c r="H174" s="53">
        <f t="shared" si="3"/>
        <v>14.799999999999997</v>
      </c>
      <c r="I174" s="54">
        <v>0</v>
      </c>
      <c r="J174" s="55" t="s">
        <v>10</v>
      </c>
      <c r="K174" s="55">
        <v>344</v>
      </c>
      <c r="L174" s="56" t="str">
        <f>LOOKUP(J174,[1]Survey_Info!A:A,[1]Survey_Info!G:G)</f>
        <v>ACCUM</v>
      </c>
      <c r="M174" s="56">
        <f>LOOKUP(J174,[1]Survey_Info!A:A,[1]Survey_Info!D:D)</f>
        <v>1200</v>
      </c>
      <c r="N174" s="56">
        <f>LOOKUP(J174,[1]Survey_Info!A:A, [1]Survey_Info!J:J)</f>
        <v>180</v>
      </c>
      <c r="O174" s="56">
        <v>0</v>
      </c>
    </row>
    <row r="175" spans="1:15" s="56" customFormat="1" x14ac:dyDescent="0.25">
      <c r="A175" s="48" t="s">
        <v>238</v>
      </c>
      <c r="B175" s="49" t="s">
        <v>22</v>
      </c>
      <c r="C175" s="50">
        <v>16</v>
      </c>
      <c r="D175" s="50">
        <v>16</v>
      </c>
      <c r="E175" s="51">
        <v>59.86</v>
      </c>
      <c r="F175" s="52">
        <v>33</v>
      </c>
      <c r="G175" s="52">
        <v>5</v>
      </c>
      <c r="H175" s="53">
        <f t="shared" si="3"/>
        <v>24.799999999999997</v>
      </c>
      <c r="I175" s="54">
        <v>0</v>
      </c>
      <c r="J175" s="55" t="s">
        <v>10</v>
      </c>
      <c r="K175" s="55">
        <v>346</v>
      </c>
      <c r="L175" s="56" t="str">
        <f>LOOKUP(J175,[1]Survey_Info!A:A,[1]Survey_Info!G:G)</f>
        <v>ACCUM</v>
      </c>
      <c r="M175" s="56">
        <f>LOOKUP(J175,[1]Survey_Info!A:A,[1]Survey_Info!D:D)</f>
        <v>1200</v>
      </c>
      <c r="N175" s="56">
        <f>LOOKUP(J175,[1]Survey_Info!A:A, [1]Survey_Info!J:J)</f>
        <v>180</v>
      </c>
      <c r="O175" s="56">
        <v>0</v>
      </c>
    </row>
    <row r="176" spans="1:15" s="56" customFormat="1" x14ac:dyDescent="0.25">
      <c r="A176" s="48" t="s">
        <v>239</v>
      </c>
      <c r="B176" s="49" t="s">
        <v>22</v>
      </c>
      <c r="C176" s="50">
        <v>16</v>
      </c>
      <c r="D176" s="50">
        <v>16</v>
      </c>
      <c r="E176" s="51">
        <v>59.86</v>
      </c>
      <c r="F176" s="52">
        <v>33</v>
      </c>
      <c r="G176" s="52">
        <v>5</v>
      </c>
      <c r="H176" s="53">
        <f t="shared" si="3"/>
        <v>34.799999999999997</v>
      </c>
      <c r="I176" s="54">
        <v>0</v>
      </c>
      <c r="J176" s="55" t="s">
        <v>10</v>
      </c>
      <c r="K176" s="55">
        <v>348</v>
      </c>
      <c r="L176" s="56" t="str">
        <f>LOOKUP(J176,[1]Survey_Info!A:A,[1]Survey_Info!G:G)</f>
        <v>ACCUM</v>
      </c>
      <c r="M176" s="56">
        <f>LOOKUP(J176,[1]Survey_Info!A:A,[1]Survey_Info!D:D)</f>
        <v>1200</v>
      </c>
      <c r="N176" s="56">
        <f>LOOKUP(J176,[1]Survey_Info!A:A, [1]Survey_Info!J:J)</f>
        <v>180</v>
      </c>
      <c r="O176" s="56">
        <v>0</v>
      </c>
    </row>
    <row r="177" spans="1:15" s="56" customFormat="1" x14ac:dyDescent="0.25">
      <c r="A177" s="48" t="s">
        <v>240</v>
      </c>
      <c r="B177" s="49" t="s">
        <v>22</v>
      </c>
      <c r="C177" s="50">
        <v>16</v>
      </c>
      <c r="D177" s="50">
        <v>16</v>
      </c>
      <c r="E177" s="51">
        <v>59.86</v>
      </c>
      <c r="F177" s="52">
        <v>33</v>
      </c>
      <c r="G177" s="52">
        <v>5</v>
      </c>
      <c r="H177" s="53">
        <f t="shared" si="3"/>
        <v>44.8</v>
      </c>
      <c r="I177" s="54">
        <v>0</v>
      </c>
      <c r="J177" s="55" t="s">
        <v>10</v>
      </c>
      <c r="K177" s="55">
        <v>350</v>
      </c>
      <c r="L177" s="56" t="str">
        <f>LOOKUP(J177,[1]Survey_Info!A:A,[1]Survey_Info!G:G)</f>
        <v>ACCUM</v>
      </c>
      <c r="M177" s="56">
        <f>LOOKUP(J177,[1]Survey_Info!A:A,[1]Survey_Info!D:D)</f>
        <v>1200</v>
      </c>
      <c r="N177" s="56">
        <f>LOOKUP(J177,[1]Survey_Info!A:A, [1]Survey_Info!J:J)</f>
        <v>180</v>
      </c>
      <c r="O177" s="56">
        <v>0</v>
      </c>
    </row>
    <row r="178" spans="1:15" s="56" customFormat="1" x14ac:dyDescent="0.25">
      <c r="A178" s="48" t="s">
        <v>241</v>
      </c>
      <c r="B178" s="49" t="s">
        <v>22</v>
      </c>
      <c r="C178" s="50">
        <v>16</v>
      </c>
      <c r="D178" s="50">
        <v>16</v>
      </c>
      <c r="E178" s="51">
        <v>59.86</v>
      </c>
      <c r="F178" s="52">
        <v>33</v>
      </c>
      <c r="G178" s="52">
        <v>5</v>
      </c>
      <c r="H178" s="53">
        <f t="shared" si="3"/>
        <v>54.8</v>
      </c>
      <c r="I178" s="54">
        <v>0</v>
      </c>
      <c r="J178" s="55" t="s">
        <v>10</v>
      </c>
      <c r="K178" s="55">
        <v>352</v>
      </c>
      <c r="L178" s="56" t="str">
        <f>LOOKUP(J178,[1]Survey_Info!A:A,[1]Survey_Info!G:G)</f>
        <v>ACCUM</v>
      </c>
      <c r="M178" s="56">
        <f>LOOKUP(J178,[1]Survey_Info!A:A,[1]Survey_Info!D:D)</f>
        <v>1200</v>
      </c>
      <c r="N178" s="56">
        <f>LOOKUP(J178,[1]Survey_Info!A:A, [1]Survey_Info!J:J)</f>
        <v>180</v>
      </c>
      <c r="O178" s="56">
        <v>0</v>
      </c>
    </row>
    <row r="179" spans="1:15" s="56" customFormat="1" x14ac:dyDescent="0.25">
      <c r="A179" s="48" t="s">
        <v>242</v>
      </c>
      <c r="B179" s="49" t="s">
        <v>22</v>
      </c>
      <c r="C179" s="50">
        <v>16</v>
      </c>
      <c r="D179" s="50">
        <v>16</v>
      </c>
      <c r="E179" s="51">
        <v>59.86</v>
      </c>
      <c r="F179" s="52">
        <v>33</v>
      </c>
      <c r="G179" s="52">
        <v>6</v>
      </c>
      <c r="H179" s="53">
        <f t="shared" si="3"/>
        <v>4.7999999999999972</v>
      </c>
      <c r="I179" s="54">
        <v>0</v>
      </c>
      <c r="J179" s="55" t="s">
        <v>10</v>
      </c>
      <c r="K179" s="55">
        <v>354</v>
      </c>
      <c r="L179" s="56" t="str">
        <f>LOOKUP(J179,[1]Survey_Info!A:A,[1]Survey_Info!G:G)</f>
        <v>ACCUM</v>
      </c>
      <c r="M179" s="56">
        <f>LOOKUP(J179,[1]Survey_Info!A:A,[1]Survey_Info!D:D)</f>
        <v>1200</v>
      </c>
      <c r="N179" s="56">
        <f>LOOKUP(J179,[1]Survey_Info!A:A, [1]Survey_Info!J:J)</f>
        <v>180</v>
      </c>
      <c r="O179" s="56">
        <v>0</v>
      </c>
    </row>
    <row r="180" spans="1:15" s="56" customFormat="1" x14ac:dyDescent="0.25">
      <c r="A180" s="48" t="s">
        <v>243</v>
      </c>
      <c r="B180" s="49" t="s">
        <v>22</v>
      </c>
      <c r="C180" s="50">
        <v>16</v>
      </c>
      <c r="D180" s="50">
        <v>16</v>
      </c>
      <c r="E180" s="51">
        <v>59.86</v>
      </c>
      <c r="F180" s="52">
        <v>33</v>
      </c>
      <c r="G180" s="52">
        <v>6</v>
      </c>
      <c r="H180" s="53">
        <f t="shared" si="3"/>
        <v>14.799999999999997</v>
      </c>
      <c r="I180" s="54">
        <v>0</v>
      </c>
      <c r="J180" s="55" t="s">
        <v>10</v>
      </c>
      <c r="K180" s="55">
        <v>356</v>
      </c>
      <c r="L180" s="56" t="str">
        <f>LOOKUP(J180,[1]Survey_Info!A:A,[1]Survey_Info!G:G)</f>
        <v>ACCUM</v>
      </c>
      <c r="M180" s="56">
        <f>LOOKUP(J180,[1]Survey_Info!A:A,[1]Survey_Info!D:D)</f>
        <v>1200</v>
      </c>
      <c r="N180" s="56">
        <f>LOOKUP(J180,[1]Survey_Info!A:A, [1]Survey_Info!J:J)</f>
        <v>180</v>
      </c>
      <c r="O180" s="56">
        <v>0</v>
      </c>
    </row>
    <row r="181" spans="1:15" s="56" customFormat="1" x14ac:dyDescent="0.25">
      <c r="A181" s="48" t="s">
        <v>244</v>
      </c>
      <c r="B181" s="49" t="s">
        <v>22</v>
      </c>
      <c r="C181" s="50">
        <v>16</v>
      </c>
      <c r="D181" s="50">
        <v>16</v>
      </c>
      <c r="E181" s="51">
        <v>59.86</v>
      </c>
      <c r="F181" s="52">
        <v>33</v>
      </c>
      <c r="G181" s="52">
        <v>6</v>
      </c>
      <c r="H181" s="53">
        <f t="shared" si="3"/>
        <v>24.799999999999997</v>
      </c>
      <c r="I181" s="54">
        <v>0</v>
      </c>
      <c r="J181" s="55" t="s">
        <v>10</v>
      </c>
      <c r="K181" s="55">
        <v>358</v>
      </c>
      <c r="L181" s="56" t="str">
        <f>LOOKUP(J181,[1]Survey_Info!A:A,[1]Survey_Info!G:G)</f>
        <v>ACCUM</v>
      </c>
      <c r="M181" s="56">
        <f>LOOKUP(J181,[1]Survey_Info!A:A,[1]Survey_Info!D:D)</f>
        <v>1200</v>
      </c>
      <c r="N181" s="56">
        <f>LOOKUP(J181,[1]Survey_Info!A:A, [1]Survey_Info!J:J)</f>
        <v>180</v>
      </c>
      <c r="O181" s="56">
        <v>0</v>
      </c>
    </row>
    <row r="182" spans="1:15" s="70" customFormat="1" x14ac:dyDescent="0.25">
      <c r="A182" s="62" t="s">
        <v>248</v>
      </c>
      <c r="B182" s="63" t="s">
        <v>22</v>
      </c>
      <c r="C182" s="64">
        <v>15</v>
      </c>
      <c r="D182" s="64">
        <v>26</v>
      </c>
      <c r="E182" s="65">
        <v>59.86</v>
      </c>
      <c r="F182" s="66">
        <v>32</v>
      </c>
      <c r="G182" s="66">
        <v>49</v>
      </c>
      <c r="H182" s="67">
        <f t="shared" ref="H182:H225" si="4">IF(H183-10&lt;0, 60-(10-H183), H183-10)</f>
        <v>34.799999999999997</v>
      </c>
      <c r="I182" s="68">
        <v>0</v>
      </c>
      <c r="J182" s="69" t="s">
        <v>10</v>
      </c>
      <c r="K182" s="69">
        <v>448</v>
      </c>
      <c r="L182" s="70" t="str">
        <f>LOOKUP(J182,[1]Survey_Info!A:A,[1]Survey_Info!G:G)</f>
        <v>ACCUM</v>
      </c>
      <c r="M182" s="70">
        <f>LOOKUP(J182,[1]Survey_Info!A:A,[1]Survey_Info!D:D)</f>
        <v>1200</v>
      </c>
      <c r="N182" s="70">
        <f>LOOKUP(J182,[1]Survey_Info!A:A, [1]Survey_Info!J:J)</f>
        <v>180</v>
      </c>
      <c r="O182" s="70">
        <v>0</v>
      </c>
    </row>
    <row r="183" spans="1:15" s="70" customFormat="1" x14ac:dyDescent="0.25">
      <c r="A183" s="62" t="s">
        <v>249</v>
      </c>
      <c r="B183" s="63" t="s">
        <v>22</v>
      </c>
      <c r="C183" s="64">
        <v>15</v>
      </c>
      <c r="D183" s="64">
        <v>26</v>
      </c>
      <c r="E183" s="65">
        <v>59.86</v>
      </c>
      <c r="F183" s="66">
        <v>32</v>
      </c>
      <c r="G183" s="66">
        <v>49</v>
      </c>
      <c r="H183" s="67">
        <f t="shared" si="4"/>
        <v>44.8</v>
      </c>
      <c r="I183" s="68">
        <v>0</v>
      </c>
      <c r="J183" s="69" t="s">
        <v>10</v>
      </c>
      <c r="K183" s="69">
        <v>446</v>
      </c>
      <c r="L183" s="70" t="str">
        <f>LOOKUP(J183,[1]Survey_Info!A:A,[1]Survey_Info!G:G)</f>
        <v>ACCUM</v>
      </c>
      <c r="M183" s="70">
        <f>LOOKUP(J183,[1]Survey_Info!A:A,[1]Survey_Info!D:D)</f>
        <v>1200</v>
      </c>
      <c r="N183" s="70">
        <f>LOOKUP(J183,[1]Survey_Info!A:A, [1]Survey_Info!J:J)</f>
        <v>180</v>
      </c>
      <c r="O183" s="70">
        <v>0</v>
      </c>
    </row>
    <row r="184" spans="1:15" s="70" customFormat="1" x14ac:dyDescent="0.25">
      <c r="A184" s="62" t="s">
        <v>250</v>
      </c>
      <c r="B184" s="63" t="s">
        <v>22</v>
      </c>
      <c r="C184" s="64">
        <v>15</v>
      </c>
      <c r="D184" s="64">
        <v>26</v>
      </c>
      <c r="E184" s="65">
        <v>59.86</v>
      </c>
      <c r="F184" s="66">
        <v>32</v>
      </c>
      <c r="G184" s="66">
        <v>49</v>
      </c>
      <c r="H184" s="67">
        <f t="shared" si="4"/>
        <v>54.8</v>
      </c>
      <c r="I184" s="68">
        <v>0</v>
      </c>
      <c r="J184" s="69" t="s">
        <v>10</v>
      </c>
      <c r="K184" s="69">
        <v>444</v>
      </c>
      <c r="L184" s="70" t="str">
        <f>LOOKUP(J184,[1]Survey_Info!A:A,[1]Survey_Info!G:G)</f>
        <v>ACCUM</v>
      </c>
      <c r="M184" s="70">
        <f>LOOKUP(J184,[1]Survey_Info!A:A,[1]Survey_Info!D:D)</f>
        <v>1200</v>
      </c>
      <c r="N184" s="70">
        <f>LOOKUP(J184,[1]Survey_Info!A:A, [1]Survey_Info!J:J)</f>
        <v>180</v>
      </c>
      <c r="O184" s="70">
        <v>0</v>
      </c>
    </row>
    <row r="185" spans="1:15" s="70" customFormat="1" x14ac:dyDescent="0.25">
      <c r="A185" s="62" t="s">
        <v>251</v>
      </c>
      <c r="B185" s="63" t="s">
        <v>22</v>
      </c>
      <c r="C185" s="64">
        <v>15</v>
      </c>
      <c r="D185" s="64">
        <v>26</v>
      </c>
      <c r="E185" s="65">
        <v>59.86</v>
      </c>
      <c r="F185" s="66">
        <v>32</v>
      </c>
      <c r="G185" s="66">
        <v>50</v>
      </c>
      <c r="H185" s="67">
        <f t="shared" si="4"/>
        <v>4.7999999999999972</v>
      </c>
      <c r="I185" s="68">
        <v>0</v>
      </c>
      <c r="J185" s="69" t="s">
        <v>10</v>
      </c>
      <c r="K185" s="69">
        <v>442</v>
      </c>
      <c r="L185" s="70" t="str">
        <f>LOOKUP(J185,[1]Survey_Info!A:A,[1]Survey_Info!G:G)</f>
        <v>ACCUM</v>
      </c>
      <c r="M185" s="70">
        <f>LOOKUP(J185,[1]Survey_Info!A:A,[1]Survey_Info!D:D)</f>
        <v>1200</v>
      </c>
      <c r="N185" s="70">
        <f>LOOKUP(J185,[1]Survey_Info!A:A, [1]Survey_Info!J:J)</f>
        <v>180</v>
      </c>
      <c r="O185" s="70">
        <v>0</v>
      </c>
    </row>
    <row r="186" spans="1:15" s="70" customFormat="1" x14ac:dyDescent="0.25">
      <c r="A186" s="62" t="s">
        <v>252</v>
      </c>
      <c r="B186" s="63" t="s">
        <v>22</v>
      </c>
      <c r="C186" s="64">
        <v>15</v>
      </c>
      <c r="D186" s="64">
        <v>26</v>
      </c>
      <c r="E186" s="65">
        <v>59.86</v>
      </c>
      <c r="F186" s="66">
        <v>32</v>
      </c>
      <c r="G186" s="66">
        <v>50</v>
      </c>
      <c r="H186" s="67">
        <f t="shared" si="4"/>
        <v>14.799999999999997</v>
      </c>
      <c r="I186" s="68">
        <v>0</v>
      </c>
      <c r="J186" s="69" t="s">
        <v>10</v>
      </c>
      <c r="K186" s="69">
        <v>440</v>
      </c>
      <c r="L186" s="70" t="str">
        <f>LOOKUP(J186,[1]Survey_Info!A:A,[1]Survey_Info!G:G)</f>
        <v>ACCUM</v>
      </c>
      <c r="M186" s="70">
        <f>LOOKUP(J186,[1]Survey_Info!A:A,[1]Survey_Info!D:D)</f>
        <v>1200</v>
      </c>
      <c r="N186" s="70">
        <f>LOOKUP(J186,[1]Survey_Info!A:A, [1]Survey_Info!J:J)</f>
        <v>180</v>
      </c>
      <c r="O186" s="70">
        <v>0</v>
      </c>
    </row>
    <row r="187" spans="1:15" s="70" customFormat="1" x14ac:dyDescent="0.25">
      <c r="A187" s="62" t="s">
        <v>253</v>
      </c>
      <c r="B187" s="63" t="s">
        <v>22</v>
      </c>
      <c r="C187" s="64">
        <v>15</v>
      </c>
      <c r="D187" s="64">
        <v>26</v>
      </c>
      <c r="E187" s="65">
        <v>59.86</v>
      </c>
      <c r="F187" s="66">
        <v>32</v>
      </c>
      <c r="G187" s="66">
        <v>50</v>
      </c>
      <c r="H187" s="67">
        <f t="shared" si="4"/>
        <v>24.799999999999997</v>
      </c>
      <c r="I187" s="68">
        <v>0</v>
      </c>
      <c r="J187" s="69" t="s">
        <v>10</v>
      </c>
      <c r="K187" s="69">
        <v>438</v>
      </c>
      <c r="L187" s="70" t="str">
        <f>LOOKUP(J187,[1]Survey_Info!A:A,[1]Survey_Info!G:G)</f>
        <v>ACCUM</v>
      </c>
      <c r="M187" s="70">
        <f>LOOKUP(J187,[1]Survey_Info!A:A,[1]Survey_Info!D:D)</f>
        <v>1200</v>
      </c>
      <c r="N187" s="70">
        <f>LOOKUP(J187,[1]Survey_Info!A:A, [1]Survey_Info!J:J)</f>
        <v>180</v>
      </c>
      <c r="O187" s="70">
        <v>0</v>
      </c>
    </row>
    <row r="188" spans="1:15" s="70" customFormat="1" x14ac:dyDescent="0.25">
      <c r="A188" s="62" t="s">
        <v>254</v>
      </c>
      <c r="B188" s="63" t="s">
        <v>22</v>
      </c>
      <c r="C188" s="64">
        <v>15</v>
      </c>
      <c r="D188" s="64">
        <v>26</v>
      </c>
      <c r="E188" s="65">
        <v>59.86</v>
      </c>
      <c r="F188" s="66">
        <v>32</v>
      </c>
      <c r="G188" s="66">
        <v>50</v>
      </c>
      <c r="H188" s="67">
        <f t="shared" si="4"/>
        <v>34.799999999999997</v>
      </c>
      <c r="I188" s="68">
        <v>0</v>
      </c>
      <c r="J188" s="69" t="s">
        <v>10</v>
      </c>
      <c r="K188" s="69">
        <v>436</v>
      </c>
      <c r="L188" s="70" t="str">
        <f>LOOKUP(J188,[1]Survey_Info!A:A,[1]Survey_Info!G:G)</f>
        <v>ACCUM</v>
      </c>
      <c r="M188" s="70">
        <f>LOOKUP(J188,[1]Survey_Info!A:A,[1]Survey_Info!D:D)</f>
        <v>1200</v>
      </c>
      <c r="N188" s="70">
        <f>LOOKUP(J188,[1]Survey_Info!A:A, [1]Survey_Info!J:J)</f>
        <v>180</v>
      </c>
      <c r="O188" s="70">
        <v>0</v>
      </c>
    </row>
    <row r="189" spans="1:15" s="70" customFormat="1" x14ac:dyDescent="0.25">
      <c r="A189" s="62" t="s">
        <v>255</v>
      </c>
      <c r="B189" s="63" t="s">
        <v>22</v>
      </c>
      <c r="C189" s="64">
        <v>15</v>
      </c>
      <c r="D189" s="64">
        <v>26</v>
      </c>
      <c r="E189" s="65">
        <v>59.86</v>
      </c>
      <c r="F189" s="66">
        <v>32</v>
      </c>
      <c r="G189" s="66">
        <v>50</v>
      </c>
      <c r="H189" s="67">
        <f t="shared" si="4"/>
        <v>44.8</v>
      </c>
      <c r="I189" s="68">
        <v>0</v>
      </c>
      <c r="J189" s="69" t="s">
        <v>10</v>
      </c>
      <c r="K189" s="69">
        <v>434</v>
      </c>
      <c r="L189" s="70" t="str">
        <f>LOOKUP(J189,[1]Survey_Info!A:A,[1]Survey_Info!G:G)</f>
        <v>ACCUM</v>
      </c>
      <c r="M189" s="70">
        <f>LOOKUP(J189,[1]Survey_Info!A:A,[1]Survey_Info!D:D)</f>
        <v>1200</v>
      </c>
      <c r="N189" s="70">
        <f>LOOKUP(J189,[1]Survey_Info!A:A, [1]Survey_Info!J:J)</f>
        <v>180</v>
      </c>
      <c r="O189" s="70">
        <v>0</v>
      </c>
    </row>
    <row r="190" spans="1:15" s="70" customFormat="1" x14ac:dyDescent="0.25">
      <c r="A190" s="62" t="s">
        <v>256</v>
      </c>
      <c r="B190" s="63" t="s">
        <v>22</v>
      </c>
      <c r="C190" s="64">
        <v>15</v>
      </c>
      <c r="D190" s="64">
        <v>26</v>
      </c>
      <c r="E190" s="65">
        <v>59.86</v>
      </c>
      <c r="F190" s="66">
        <v>32</v>
      </c>
      <c r="G190" s="66">
        <v>50</v>
      </c>
      <c r="H190" s="67">
        <f t="shared" si="4"/>
        <v>54.8</v>
      </c>
      <c r="I190" s="68">
        <v>0</v>
      </c>
      <c r="J190" s="69" t="s">
        <v>10</v>
      </c>
      <c r="K190" s="69">
        <v>432</v>
      </c>
      <c r="L190" s="70" t="str">
        <f>LOOKUP(J190,[1]Survey_Info!A:A,[1]Survey_Info!G:G)</f>
        <v>ACCUM</v>
      </c>
      <c r="M190" s="70">
        <f>LOOKUP(J190,[1]Survey_Info!A:A,[1]Survey_Info!D:D)</f>
        <v>1200</v>
      </c>
      <c r="N190" s="70">
        <f>LOOKUP(J190,[1]Survey_Info!A:A, [1]Survey_Info!J:J)</f>
        <v>180</v>
      </c>
      <c r="O190" s="70">
        <v>0</v>
      </c>
    </row>
    <row r="191" spans="1:15" s="70" customFormat="1" x14ac:dyDescent="0.25">
      <c r="A191" s="62" t="s">
        <v>257</v>
      </c>
      <c r="B191" s="63" t="s">
        <v>22</v>
      </c>
      <c r="C191" s="64">
        <v>15</v>
      </c>
      <c r="D191" s="64">
        <v>26</v>
      </c>
      <c r="E191" s="65">
        <v>59.86</v>
      </c>
      <c r="F191" s="66">
        <v>32</v>
      </c>
      <c r="G191" s="66">
        <v>51</v>
      </c>
      <c r="H191" s="67">
        <f t="shared" si="4"/>
        <v>4.7999999999999972</v>
      </c>
      <c r="I191" s="68">
        <v>0</v>
      </c>
      <c r="J191" s="69" t="s">
        <v>10</v>
      </c>
      <c r="K191" s="69">
        <v>430</v>
      </c>
      <c r="L191" s="70" t="str">
        <f>LOOKUP(J191,[1]Survey_Info!A:A,[1]Survey_Info!G:G)</f>
        <v>ACCUM</v>
      </c>
      <c r="M191" s="70">
        <f>LOOKUP(J191,[1]Survey_Info!A:A,[1]Survey_Info!D:D)</f>
        <v>1200</v>
      </c>
      <c r="N191" s="70">
        <f>LOOKUP(J191,[1]Survey_Info!A:A, [1]Survey_Info!J:J)</f>
        <v>180</v>
      </c>
      <c r="O191" s="70">
        <v>0</v>
      </c>
    </row>
    <row r="192" spans="1:15" s="70" customFormat="1" x14ac:dyDescent="0.25">
      <c r="A192" s="62" t="s">
        <v>258</v>
      </c>
      <c r="B192" s="63" t="s">
        <v>22</v>
      </c>
      <c r="C192" s="64">
        <v>15</v>
      </c>
      <c r="D192" s="64">
        <v>26</v>
      </c>
      <c r="E192" s="65">
        <v>59.86</v>
      </c>
      <c r="F192" s="66">
        <v>32</v>
      </c>
      <c r="G192" s="66">
        <v>51</v>
      </c>
      <c r="H192" s="67">
        <f t="shared" si="4"/>
        <v>14.799999999999997</v>
      </c>
      <c r="I192" s="68">
        <v>0</v>
      </c>
      <c r="J192" s="69" t="s">
        <v>10</v>
      </c>
      <c r="K192" s="69">
        <v>428</v>
      </c>
      <c r="L192" s="70" t="str">
        <f>LOOKUP(J192,[1]Survey_Info!A:A,[1]Survey_Info!G:G)</f>
        <v>ACCUM</v>
      </c>
      <c r="M192" s="70">
        <f>LOOKUP(J192,[1]Survey_Info!A:A,[1]Survey_Info!D:D)</f>
        <v>1200</v>
      </c>
      <c r="N192" s="70">
        <f>LOOKUP(J192,[1]Survey_Info!A:A, [1]Survey_Info!J:J)</f>
        <v>180</v>
      </c>
      <c r="O192" s="70">
        <v>0</v>
      </c>
    </row>
    <row r="193" spans="1:15" s="70" customFormat="1" x14ac:dyDescent="0.25">
      <c r="A193" s="62" t="s">
        <v>259</v>
      </c>
      <c r="B193" s="63" t="s">
        <v>22</v>
      </c>
      <c r="C193" s="64">
        <v>15</v>
      </c>
      <c r="D193" s="64">
        <v>26</v>
      </c>
      <c r="E193" s="65">
        <v>59.86</v>
      </c>
      <c r="F193" s="66">
        <v>32</v>
      </c>
      <c r="G193" s="66">
        <v>51</v>
      </c>
      <c r="H193" s="67">
        <f t="shared" si="4"/>
        <v>24.799999999999997</v>
      </c>
      <c r="I193" s="68">
        <v>0</v>
      </c>
      <c r="J193" s="69" t="s">
        <v>10</v>
      </c>
      <c r="K193" s="69">
        <v>426</v>
      </c>
      <c r="L193" s="70" t="str">
        <f>LOOKUP(J193,[1]Survey_Info!A:A,[1]Survey_Info!G:G)</f>
        <v>ACCUM</v>
      </c>
      <c r="M193" s="70">
        <f>LOOKUP(J193,[1]Survey_Info!A:A,[1]Survey_Info!D:D)</f>
        <v>1200</v>
      </c>
      <c r="N193" s="70">
        <f>LOOKUP(J193,[1]Survey_Info!A:A, [1]Survey_Info!J:J)</f>
        <v>180</v>
      </c>
      <c r="O193" s="70">
        <v>0</v>
      </c>
    </row>
    <row r="194" spans="1:15" s="70" customFormat="1" x14ac:dyDescent="0.25">
      <c r="A194" s="62" t="s">
        <v>260</v>
      </c>
      <c r="B194" s="63" t="s">
        <v>22</v>
      </c>
      <c r="C194" s="64">
        <v>15</v>
      </c>
      <c r="D194" s="64">
        <v>26</v>
      </c>
      <c r="E194" s="65">
        <v>59.86</v>
      </c>
      <c r="F194" s="66">
        <v>32</v>
      </c>
      <c r="G194" s="66">
        <v>51</v>
      </c>
      <c r="H194" s="67">
        <f t="shared" si="4"/>
        <v>34.799999999999997</v>
      </c>
      <c r="I194" s="68">
        <v>0</v>
      </c>
      <c r="J194" s="69" t="s">
        <v>10</v>
      </c>
      <c r="K194" s="69">
        <v>424</v>
      </c>
      <c r="L194" s="70" t="str">
        <f>LOOKUP(J194,[1]Survey_Info!A:A,[1]Survey_Info!G:G)</f>
        <v>ACCUM</v>
      </c>
      <c r="M194" s="70">
        <f>LOOKUP(J194,[1]Survey_Info!A:A,[1]Survey_Info!D:D)</f>
        <v>1200</v>
      </c>
      <c r="N194" s="70">
        <f>LOOKUP(J194,[1]Survey_Info!A:A, [1]Survey_Info!J:J)</f>
        <v>180</v>
      </c>
      <c r="O194" s="70">
        <v>0</v>
      </c>
    </row>
    <row r="195" spans="1:15" s="70" customFormat="1" x14ac:dyDescent="0.25">
      <c r="A195" s="62" t="s">
        <v>261</v>
      </c>
      <c r="B195" s="63" t="s">
        <v>22</v>
      </c>
      <c r="C195" s="64">
        <v>15</v>
      </c>
      <c r="D195" s="64">
        <v>26</v>
      </c>
      <c r="E195" s="65">
        <v>59.86</v>
      </c>
      <c r="F195" s="66">
        <v>32</v>
      </c>
      <c r="G195" s="66">
        <v>51</v>
      </c>
      <c r="H195" s="67">
        <f t="shared" si="4"/>
        <v>44.8</v>
      </c>
      <c r="I195" s="68">
        <v>0</v>
      </c>
      <c r="J195" s="69" t="s">
        <v>10</v>
      </c>
      <c r="K195" s="69">
        <v>422</v>
      </c>
      <c r="L195" s="70" t="str">
        <f>LOOKUP(J195,[1]Survey_Info!A:A,[1]Survey_Info!G:G)</f>
        <v>ACCUM</v>
      </c>
      <c r="M195" s="70">
        <f>LOOKUP(J195,[1]Survey_Info!A:A,[1]Survey_Info!D:D)</f>
        <v>1200</v>
      </c>
      <c r="N195" s="70">
        <f>LOOKUP(J195,[1]Survey_Info!A:A, [1]Survey_Info!J:J)</f>
        <v>180</v>
      </c>
      <c r="O195" s="70">
        <v>0</v>
      </c>
    </row>
    <row r="196" spans="1:15" s="70" customFormat="1" x14ac:dyDescent="0.25">
      <c r="A196" s="62" t="s">
        <v>262</v>
      </c>
      <c r="B196" s="63" t="s">
        <v>22</v>
      </c>
      <c r="C196" s="64">
        <v>15</v>
      </c>
      <c r="D196" s="64">
        <v>26</v>
      </c>
      <c r="E196" s="65">
        <v>59.86</v>
      </c>
      <c r="F196" s="66">
        <v>32</v>
      </c>
      <c r="G196" s="66">
        <v>51</v>
      </c>
      <c r="H196" s="67">
        <f t="shared" si="4"/>
        <v>54.8</v>
      </c>
      <c r="I196" s="68">
        <v>0</v>
      </c>
      <c r="J196" s="69" t="s">
        <v>10</v>
      </c>
      <c r="K196" s="69">
        <v>420</v>
      </c>
      <c r="L196" s="70" t="str">
        <f>LOOKUP(J196,[1]Survey_Info!A:A,[1]Survey_Info!G:G)</f>
        <v>ACCUM</v>
      </c>
      <c r="M196" s="70">
        <f>LOOKUP(J196,[1]Survey_Info!A:A,[1]Survey_Info!D:D)</f>
        <v>1200</v>
      </c>
      <c r="N196" s="70">
        <f>LOOKUP(J196,[1]Survey_Info!A:A, [1]Survey_Info!J:J)</f>
        <v>180</v>
      </c>
      <c r="O196" s="70">
        <v>0</v>
      </c>
    </row>
    <row r="197" spans="1:15" s="70" customFormat="1" x14ac:dyDescent="0.25">
      <c r="A197" s="62" t="s">
        <v>263</v>
      </c>
      <c r="B197" s="63" t="s">
        <v>22</v>
      </c>
      <c r="C197" s="64">
        <v>15</v>
      </c>
      <c r="D197" s="64">
        <v>26</v>
      </c>
      <c r="E197" s="65">
        <v>59.86</v>
      </c>
      <c r="F197" s="66">
        <v>32</v>
      </c>
      <c r="G197" s="66">
        <v>52</v>
      </c>
      <c r="H197" s="67">
        <f t="shared" si="4"/>
        <v>4.7999999999999972</v>
      </c>
      <c r="I197" s="68">
        <v>0</v>
      </c>
      <c r="J197" s="69" t="s">
        <v>10</v>
      </c>
      <c r="K197" s="69">
        <v>418</v>
      </c>
      <c r="L197" s="70" t="str">
        <f>LOOKUP(J197,[1]Survey_Info!A:A,[1]Survey_Info!G:G)</f>
        <v>ACCUM</v>
      </c>
      <c r="M197" s="70">
        <f>LOOKUP(J197,[1]Survey_Info!A:A,[1]Survey_Info!D:D)</f>
        <v>1200</v>
      </c>
      <c r="N197" s="70">
        <f>LOOKUP(J197,[1]Survey_Info!A:A, [1]Survey_Info!J:J)</f>
        <v>180</v>
      </c>
      <c r="O197" s="70">
        <v>0</v>
      </c>
    </row>
    <row r="198" spans="1:15" s="70" customFormat="1" x14ac:dyDescent="0.25">
      <c r="A198" s="62" t="s">
        <v>264</v>
      </c>
      <c r="B198" s="63" t="s">
        <v>22</v>
      </c>
      <c r="C198" s="64">
        <v>15</v>
      </c>
      <c r="D198" s="64">
        <v>26</v>
      </c>
      <c r="E198" s="65">
        <v>59.86</v>
      </c>
      <c r="F198" s="66">
        <v>32</v>
      </c>
      <c r="G198" s="66">
        <v>52</v>
      </c>
      <c r="H198" s="67">
        <f t="shared" si="4"/>
        <v>14.799999999999997</v>
      </c>
      <c r="I198" s="68">
        <v>0</v>
      </c>
      <c r="J198" s="69" t="s">
        <v>10</v>
      </c>
      <c r="K198" s="69">
        <v>416</v>
      </c>
      <c r="L198" s="70" t="str">
        <f>LOOKUP(J198,[1]Survey_Info!A:A,[1]Survey_Info!G:G)</f>
        <v>ACCUM</v>
      </c>
      <c r="M198" s="70">
        <f>LOOKUP(J198,[1]Survey_Info!A:A,[1]Survey_Info!D:D)</f>
        <v>1200</v>
      </c>
      <c r="N198" s="70">
        <f>LOOKUP(J198,[1]Survey_Info!A:A, [1]Survey_Info!J:J)</f>
        <v>180</v>
      </c>
      <c r="O198" s="70">
        <v>0</v>
      </c>
    </row>
    <row r="199" spans="1:15" s="70" customFormat="1" x14ac:dyDescent="0.25">
      <c r="A199" s="62" t="s">
        <v>265</v>
      </c>
      <c r="B199" s="63" t="s">
        <v>22</v>
      </c>
      <c r="C199" s="64">
        <v>15</v>
      </c>
      <c r="D199" s="64">
        <v>26</v>
      </c>
      <c r="E199" s="65">
        <v>59.86</v>
      </c>
      <c r="F199" s="66">
        <v>32</v>
      </c>
      <c r="G199" s="66">
        <v>52</v>
      </c>
      <c r="H199" s="67">
        <f t="shared" si="4"/>
        <v>24.799999999999997</v>
      </c>
      <c r="I199" s="68">
        <v>0</v>
      </c>
      <c r="J199" s="69" t="s">
        <v>10</v>
      </c>
      <c r="K199" s="69">
        <v>414</v>
      </c>
      <c r="L199" s="70" t="str">
        <f>LOOKUP(J199,[1]Survey_Info!A:A,[1]Survey_Info!G:G)</f>
        <v>ACCUM</v>
      </c>
      <c r="M199" s="70">
        <f>LOOKUP(J199,[1]Survey_Info!A:A,[1]Survey_Info!D:D)</f>
        <v>1200</v>
      </c>
      <c r="N199" s="70">
        <f>LOOKUP(J199,[1]Survey_Info!A:A, [1]Survey_Info!J:J)</f>
        <v>180</v>
      </c>
      <c r="O199" s="70">
        <v>0</v>
      </c>
    </row>
    <row r="200" spans="1:15" s="70" customFormat="1" x14ac:dyDescent="0.25">
      <c r="A200" s="62" t="s">
        <v>266</v>
      </c>
      <c r="B200" s="63" t="s">
        <v>22</v>
      </c>
      <c r="C200" s="64">
        <v>15</v>
      </c>
      <c r="D200" s="64">
        <v>26</v>
      </c>
      <c r="E200" s="65">
        <v>59.86</v>
      </c>
      <c r="F200" s="66">
        <v>32</v>
      </c>
      <c r="G200" s="66">
        <v>52</v>
      </c>
      <c r="H200" s="67">
        <f t="shared" si="4"/>
        <v>34.799999999999997</v>
      </c>
      <c r="I200" s="68">
        <v>0</v>
      </c>
      <c r="J200" s="69" t="s">
        <v>10</v>
      </c>
      <c r="K200" s="69">
        <v>412</v>
      </c>
      <c r="L200" s="70" t="str">
        <f>LOOKUP(J200,[1]Survey_Info!A:A,[1]Survey_Info!G:G)</f>
        <v>ACCUM</v>
      </c>
      <c r="M200" s="70">
        <f>LOOKUP(J200,[1]Survey_Info!A:A,[1]Survey_Info!D:D)</f>
        <v>1200</v>
      </c>
      <c r="N200" s="70">
        <f>LOOKUP(J200,[1]Survey_Info!A:A, [1]Survey_Info!J:J)</f>
        <v>180</v>
      </c>
      <c r="O200" s="70">
        <v>0</v>
      </c>
    </row>
    <row r="201" spans="1:15" s="70" customFormat="1" x14ac:dyDescent="0.25">
      <c r="A201" s="62" t="s">
        <v>267</v>
      </c>
      <c r="B201" s="63" t="s">
        <v>22</v>
      </c>
      <c r="C201" s="64">
        <v>15</v>
      </c>
      <c r="D201" s="64">
        <v>26</v>
      </c>
      <c r="E201" s="65">
        <v>59.86</v>
      </c>
      <c r="F201" s="66">
        <v>32</v>
      </c>
      <c r="G201" s="66">
        <v>52</v>
      </c>
      <c r="H201" s="67">
        <f t="shared" si="4"/>
        <v>44.8</v>
      </c>
      <c r="I201" s="68">
        <v>0</v>
      </c>
      <c r="J201" s="69" t="s">
        <v>10</v>
      </c>
      <c r="K201" s="69">
        <v>410</v>
      </c>
      <c r="L201" s="70" t="str">
        <f>LOOKUP(J201,[1]Survey_Info!A:A,[1]Survey_Info!G:G)</f>
        <v>ACCUM</v>
      </c>
      <c r="M201" s="70">
        <f>LOOKUP(J201,[1]Survey_Info!A:A,[1]Survey_Info!D:D)</f>
        <v>1200</v>
      </c>
      <c r="N201" s="70">
        <f>LOOKUP(J201,[1]Survey_Info!A:A, [1]Survey_Info!J:J)</f>
        <v>180</v>
      </c>
      <c r="O201" s="70">
        <v>0</v>
      </c>
    </row>
    <row r="202" spans="1:15" s="70" customFormat="1" x14ac:dyDescent="0.25">
      <c r="A202" s="62" t="s">
        <v>268</v>
      </c>
      <c r="B202" s="63" t="s">
        <v>22</v>
      </c>
      <c r="C202" s="64">
        <v>15</v>
      </c>
      <c r="D202" s="64">
        <v>26</v>
      </c>
      <c r="E202" s="65">
        <v>59.86</v>
      </c>
      <c r="F202" s="66">
        <v>32</v>
      </c>
      <c r="G202" s="66">
        <v>52</v>
      </c>
      <c r="H202" s="67">
        <f t="shared" si="4"/>
        <v>54.8</v>
      </c>
      <c r="I202" s="68">
        <v>0</v>
      </c>
      <c r="J202" s="69" t="s">
        <v>10</v>
      </c>
      <c r="K202" s="69">
        <v>408</v>
      </c>
      <c r="L202" s="70" t="str">
        <f>LOOKUP(J202,[1]Survey_Info!A:A,[1]Survey_Info!G:G)</f>
        <v>ACCUM</v>
      </c>
      <c r="M202" s="70">
        <f>LOOKUP(J202,[1]Survey_Info!A:A,[1]Survey_Info!D:D)</f>
        <v>1200</v>
      </c>
      <c r="N202" s="70">
        <f>LOOKUP(J202,[1]Survey_Info!A:A, [1]Survey_Info!J:J)</f>
        <v>180</v>
      </c>
      <c r="O202" s="70">
        <v>0</v>
      </c>
    </row>
    <row r="203" spans="1:15" s="70" customFormat="1" x14ac:dyDescent="0.25">
      <c r="A203" s="62" t="s">
        <v>269</v>
      </c>
      <c r="B203" s="63" t="s">
        <v>22</v>
      </c>
      <c r="C203" s="64">
        <v>15</v>
      </c>
      <c r="D203" s="64">
        <v>26</v>
      </c>
      <c r="E203" s="65">
        <v>59.86</v>
      </c>
      <c r="F203" s="66">
        <v>32</v>
      </c>
      <c r="G203" s="66">
        <v>53</v>
      </c>
      <c r="H203" s="67">
        <f t="shared" si="4"/>
        <v>4.7999999999999972</v>
      </c>
      <c r="I203" s="68">
        <v>0</v>
      </c>
      <c r="J203" s="69" t="s">
        <v>10</v>
      </c>
      <c r="K203" s="69">
        <v>406</v>
      </c>
      <c r="L203" s="70" t="str">
        <f>LOOKUP(J203,[1]Survey_Info!A:A,[1]Survey_Info!G:G)</f>
        <v>ACCUM</v>
      </c>
      <c r="M203" s="70">
        <f>LOOKUP(J203,[1]Survey_Info!A:A,[1]Survey_Info!D:D)</f>
        <v>1200</v>
      </c>
      <c r="N203" s="70">
        <f>LOOKUP(J203,[1]Survey_Info!A:A, [1]Survey_Info!J:J)</f>
        <v>180</v>
      </c>
      <c r="O203" s="70">
        <v>0</v>
      </c>
    </row>
    <row r="204" spans="1:15" s="70" customFormat="1" x14ac:dyDescent="0.25">
      <c r="A204" s="62" t="s">
        <v>270</v>
      </c>
      <c r="B204" s="63" t="s">
        <v>22</v>
      </c>
      <c r="C204" s="64">
        <v>15</v>
      </c>
      <c r="D204" s="64">
        <v>26</v>
      </c>
      <c r="E204" s="65">
        <v>59.86</v>
      </c>
      <c r="F204" s="66">
        <v>32</v>
      </c>
      <c r="G204" s="66">
        <v>53</v>
      </c>
      <c r="H204" s="67">
        <f t="shared" si="4"/>
        <v>14.799999999999997</v>
      </c>
      <c r="I204" s="68">
        <v>0</v>
      </c>
      <c r="J204" s="69" t="s">
        <v>10</v>
      </c>
      <c r="K204" s="69">
        <v>404</v>
      </c>
      <c r="L204" s="70" t="str">
        <f>LOOKUP(J204,[1]Survey_Info!A:A,[1]Survey_Info!G:G)</f>
        <v>ACCUM</v>
      </c>
      <c r="M204" s="70">
        <f>LOOKUP(J204,[1]Survey_Info!A:A,[1]Survey_Info!D:D)</f>
        <v>1200</v>
      </c>
      <c r="N204" s="70">
        <f>LOOKUP(J204,[1]Survey_Info!A:A, [1]Survey_Info!J:J)</f>
        <v>180</v>
      </c>
      <c r="O204" s="70">
        <v>0</v>
      </c>
    </row>
    <row r="205" spans="1:15" s="70" customFormat="1" x14ac:dyDescent="0.25">
      <c r="A205" s="62" t="s">
        <v>271</v>
      </c>
      <c r="B205" s="63" t="s">
        <v>22</v>
      </c>
      <c r="C205" s="64">
        <v>15</v>
      </c>
      <c r="D205" s="64">
        <v>26</v>
      </c>
      <c r="E205" s="65">
        <v>59.86</v>
      </c>
      <c r="F205" s="66">
        <v>32</v>
      </c>
      <c r="G205" s="66">
        <v>53</v>
      </c>
      <c r="H205" s="67">
        <f t="shared" si="4"/>
        <v>24.799999999999997</v>
      </c>
      <c r="I205" s="68">
        <v>0</v>
      </c>
      <c r="J205" s="69" t="s">
        <v>10</v>
      </c>
      <c r="K205" s="69">
        <v>402</v>
      </c>
      <c r="L205" s="70" t="str">
        <f>LOOKUP(J205,[1]Survey_Info!A:A,[1]Survey_Info!G:G)</f>
        <v>ACCUM</v>
      </c>
      <c r="M205" s="70">
        <f>LOOKUP(J205,[1]Survey_Info!A:A,[1]Survey_Info!D:D)</f>
        <v>1200</v>
      </c>
      <c r="N205" s="70">
        <f>LOOKUP(J205,[1]Survey_Info!A:A, [1]Survey_Info!J:J)</f>
        <v>180</v>
      </c>
      <c r="O205" s="70">
        <v>0</v>
      </c>
    </row>
    <row r="206" spans="1:15" s="70" customFormat="1" x14ac:dyDescent="0.25">
      <c r="A206" s="62" t="s">
        <v>272</v>
      </c>
      <c r="B206" s="63" t="s">
        <v>22</v>
      </c>
      <c r="C206" s="64">
        <v>15</v>
      </c>
      <c r="D206" s="64">
        <v>26</v>
      </c>
      <c r="E206" s="65">
        <v>59.86</v>
      </c>
      <c r="F206" s="66">
        <v>32</v>
      </c>
      <c r="G206" s="66">
        <v>53</v>
      </c>
      <c r="H206" s="67">
        <f t="shared" si="4"/>
        <v>34.799999999999997</v>
      </c>
      <c r="I206" s="68">
        <v>0</v>
      </c>
      <c r="J206" s="69" t="s">
        <v>10</v>
      </c>
      <c r="K206" s="69">
        <v>400</v>
      </c>
      <c r="L206" s="70" t="str">
        <f>LOOKUP(J206,[1]Survey_Info!A:A,[1]Survey_Info!G:G)</f>
        <v>ACCUM</v>
      </c>
      <c r="M206" s="70">
        <f>LOOKUP(J206,[1]Survey_Info!A:A,[1]Survey_Info!D:D)</f>
        <v>1200</v>
      </c>
      <c r="N206" s="70">
        <f>LOOKUP(J206,[1]Survey_Info!A:A, [1]Survey_Info!J:J)</f>
        <v>180</v>
      </c>
      <c r="O206" s="70">
        <v>0</v>
      </c>
    </row>
    <row r="207" spans="1:15" s="70" customFormat="1" x14ac:dyDescent="0.25">
      <c r="A207" s="62" t="s">
        <v>273</v>
      </c>
      <c r="B207" s="63" t="s">
        <v>22</v>
      </c>
      <c r="C207" s="64">
        <v>15</v>
      </c>
      <c r="D207" s="64">
        <v>26</v>
      </c>
      <c r="E207" s="65">
        <v>59.86</v>
      </c>
      <c r="F207" s="66">
        <v>32</v>
      </c>
      <c r="G207" s="66">
        <v>53</v>
      </c>
      <c r="H207" s="67">
        <f t="shared" si="4"/>
        <v>44.8</v>
      </c>
      <c r="I207" s="68">
        <v>0</v>
      </c>
      <c r="J207" s="69" t="s">
        <v>10</v>
      </c>
      <c r="K207" s="69">
        <v>398</v>
      </c>
      <c r="L207" s="70" t="str">
        <f>LOOKUP(J207,[1]Survey_Info!A:A,[1]Survey_Info!G:G)</f>
        <v>ACCUM</v>
      </c>
      <c r="M207" s="70">
        <f>LOOKUP(J207,[1]Survey_Info!A:A,[1]Survey_Info!D:D)</f>
        <v>1200</v>
      </c>
      <c r="N207" s="70">
        <f>LOOKUP(J207,[1]Survey_Info!A:A, [1]Survey_Info!J:J)</f>
        <v>180</v>
      </c>
      <c r="O207" s="70">
        <v>0</v>
      </c>
    </row>
    <row r="208" spans="1:15" s="70" customFormat="1" x14ac:dyDescent="0.25">
      <c r="A208" s="62" t="s">
        <v>274</v>
      </c>
      <c r="B208" s="63" t="s">
        <v>22</v>
      </c>
      <c r="C208" s="64">
        <v>15</v>
      </c>
      <c r="D208" s="64">
        <v>26</v>
      </c>
      <c r="E208" s="65">
        <v>59.86</v>
      </c>
      <c r="F208" s="66">
        <v>32</v>
      </c>
      <c r="G208" s="66">
        <v>53</v>
      </c>
      <c r="H208" s="67">
        <f t="shared" si="4"/>
        <v>54.8</v>
      </c>
      <c r="I208" s="68">
        <v>0</v>
      </c>
      <c r="J208" s="69" t="s">
        <v>10</v>
      </c>
      <c r="K208" s="69">
        <v>396</v>
      </c>
      <c r="L208" s="70" t="str">
        <f>LOOKUP(J208,[1]Survey_Info!A:A,[1]Survey_Info!G:G)</f>
        <v>ACCUM</v>
      </c>
      <c r="M208" s="70">
        <f>LOOKUP(J208,[1]Survey_Info!A:A,[1]Survey_Info!D:D)</f>
        <v>1200</v>
      </c>
      <c r="N208" s="70">
        <f>LOOKUP(J208,[1]Survey_Info!A:A, [1]Survey_Info!J:J)</f>
        <v>180</v>
      </c>
      <c r="O208" s="70">
        <v>0</v>
      </c>
    </row>
    <row r="209" spans="1:15" s="70" customFormat="1" x14ac:dyDescent="0.25">
      <c r="A209" s="62" t="s">
        <v>275</v>
      </c>
      <c r="B209" s="63" t="s">
        <v>22</v>
      </c>
      <c r="C209" s="64">
        <v>15</v>
      </c>
      <c r="D209" s="64">
        <v>26</v>
      </c>
      <c r="E209" s="65">
        <v>59.86</v>
      </c>
      <c r="F209" s="66">
        <v>32</v>
      </c>
      <c r="G209" s="66">
        <v>54</v>
      </c>
      <c r="H209" s="67">
        <f t="shared" si="4"/>
        <v>4.7999999999999972</v>
      </c>
      <c r="I209" s="68">
        <v>0</v>
      </c>
      <c r="J209" s="69" t="s">
        <v>10</v>
      </c>
      <c r="K209" s="69">
        <v>394</v>
      </c>
      <c r="L209" s="70" t="str">
        <f>LOOKUP(J209,[1]Survey_Info!A:A,[1]Survey_Info!G:G)</f>
        <v>ACCUM</v>
      </c>
      <c r="M209" s="70">
        <f>LOOKUP(J209,[1]Survey_Info!A:A,[1]Survey_Info!D:D)</f>
        <v>1200</v>
      </c>
      <c r="N209" s="70">
        <f>LOOKUP(J209,[1]Survey_Info!A:A, [1]Survey_Info!J:J)</f>
        <v>180</v>
      </c>
      <c r="O209" s="70">
        <v>0</v>
      </c>
    </row>
    <row r="210" spans="1:15" s="70" customFormat="1" x14ac:dyDescent="0.25">
      <c r="A210" s="62" t="s">
        <v>276</v>
      </c>
      <c r="B210" s="63" t="s">
        <v>22</v>
      </c>
      <c r="C210" s="64">
        <v>15</v>
      </c>
      <c r="D210" s="64">
        <v>26</v>
      </c>
      <c r="E210" s="65">
        <v>59.86</v>
      </c>
      <c r="F210" s="66">
        <v>32</v>
      </c>
      <c r="G210" s="66">
        <v>54</v>
      </c>
      <c r="H210" s="67">
        <f t="shared" si="4"/>
        <v>14.799999999999997</v>
      </c>
      <c r="I210" s="68">
        <v>0</v>
      </c>
      <c r="J210" s="69" t="s">
        <v>10</v>
      </c>
      <c r="K210" s="69">
        <v>392</v>
      </c>
      <c r="L210" s="70" t="str">
        <f>LOOKUP(J210,[1]Survey_Info!A:A,[1]Survey_Info!G:G)</f>
        <v>ACCUM</v>
      </c>
      <c r="M210" s="70">
        <f>LOOKUP(J210,[1]Survey_Info!A:A,[1]Survey_Info!D:D)</f>
        <v>1200</v>
      </c>
      <c r="N210" s="70">
        <f>LOOKUP(J210,[1]Survey_Info!A:A, [1]Survey_Info!J:J)</f>
        <v>180</v>
      </c>
      <c r="O210" s="70">
        <v>0</v>
      </c>
    </row>
    <row r="211" spans="1:15" s="70" customFormat="1" x14ac:dyDescent="0.25">
      <c r="A211" s="62" t="s">
        <v>277</v>
      </c>
      <c r="B211" s="63" t="s">
        <v>22</v>
      </c>
      <c r="C211" s="64">
        <v>15</v>
      </c>
      <c r="D211" s="64">
        <v>26</v>
      </c>
      <c r="E211" s="65">
        <v>59.86</v>
      </c>
      <c r="F211" s="66">
        <v>32</v>
      </c>
      <c r="G211" s="66">
        <v>54</v>
      </c>
      <c r="H211" s="67">
        <f t="shared" si="4"/>
        <v>24.799999999999997</v>
      </c>
      <c r="I211" s="68">
        <v>0</v>
      </c>
      <c r="J211" s="69" t="s">
        <v>10</v>
      </c>
      <c r="K211" s="69">
        <v>390</v>
      </c>
      <c r="L211" s="70" t="str">
        <f>LOOKUP(J211,[1]Survey_Info!A:A,[1]Survey_Info!G:G)</f>
        <v>ACCUM</v>
      </c>
      <c r="M211" s="70">
        <f>LOOKUP(J211,[1]Survey_Info!A:A,[1]Survey_Info!D:D)</f>
        <v>1200</v>
      </c>
      <c r="N211" s="70">
        <f>LOOKUP(J211,[1]Survey_Info!A:A, [1]Survey_Info!J:J)</f>
        <v>180</v>
      </c>
      <c r="O211" s="70">
        <v>0</v>
      </c>
    </row>
    <row r="212" spans="1:15" s="70" customFormat="1" x14ac:dyDescent="0.25">
      <c r="A212" s="62" t="s">
        <v>278</v>
      </c>
      <c r="B212" s="63" t="s">
        <v>22</v>
      </c>
      <c r="C212" s="64">
        <v>15</v>
      </c>
      <c r="D212" s="64">
        <v>26</v>
      </c>
      <c r="E212" s="65">
        <v>59.86</v>
      </c>
      <c r="F212" s="66">
        <v>32</v>
      </c>
      <c r="G212" s="66">
        <v>54</v>
      </c>
      <c r="H212" s="67">
        <f t="shared" si="4"/>
        <v>34.799999999999997</v>
      </c>
      <c r="I212" s="68">
        <v>0</v>
      </c>
      <c r="J212" s="69" t="s">
        <v>10</v>
      </c>
      <c r="K212" s="69">
        <v>388</v>
      </c>
      <c r="L212" s="70" t="str">
        <f>LOOKUP(J212,[1]Survey_Info!A:A,[1]Survey_Info!G:G)</f>
        <v>ACCUM</v>
      </c>
      <c r="M212" s="70">
        <f>LOOKUP(J212,[1]Survey_Info!A:A,[1]Survey_Info!D:D)</f>
        <v>1200</v>
      </c>
      <c r="N212" s="70">
        <f>LOOKUP(J212,[1]Survey_Info!A:A, [1]Survey_Info!J:J)</f>
        <v>180</v>
      </c>
      <c r="O212" s="70">
        <v>0</v>
      </c>
    </row>
    <row r="213" spans="1:15" s="70" customFormat="1" x14ac:dyDescent="0.25">
      <c r="A213" s="62" t="s">
        <v>279</v>
      </c>
      <c r="B213" s="63" t="s">
        <v>22</v>
      </c>
      <c r="C213" s="64">
        <v>15</v>
      </c>
      <c r="D213" s="64">
        <v>26</v>
      </c>
      <c r="E213" s="65">
        <v>59.86</v>
      </c>
      <c r="F213" s="66">
        <v>32</v>
      </c>
      <c r="G213" s="66">
        <v>54</v>
      </c>
      <c r="H213" s="67">
        <f t="shared" si="4"/>
        <v>44.8</v>
      </c>
      <c r="I213" s="68">
        <v>0</v>
      </c>
      <c r="J213" s="69" t="s">
        <v>10</v>
      </c>
      <c r="K213" s="69">
        <v>386</v>
      </c>
      <c r="L213" s="70" t="str">
        <f>LOOKUP(J213,[1]Survey_Info!A:A,[1]Survey_Info!G:G)</f>
        <v>ACCUM</v>
      </c>
      <c r="M213" s="70">
        <f>LOOKUP(J213,[1]Survey_Info!A:A,[1]Survey_Info!D:D)</f>
        <v>1200</v>
      </c>
      <c r="N213" s="70">
        <f>LOOKUP(J213,[1]Survey_Info!A:A, [1]Survey_Info!J:J)</f>
        <v>180</v>
      </c>
      <c r="O213" s="70">
        <v>0</v>
      </c>
    </row>
    <row r="214" spans="1:15" s="70" customFormat="1" x14ac:dyDescent="0.25">
      <c r="A214" s="62" t="s">
        <v>280</v>
      </c>
      <c r="B214" s="63" t="s">
        <v>22</v>
      </c>
      <c r="C214" s="64">
        <v>15</v>
      </c>
      <c r="D214" s="64">
        <v>26</v>
      </c>
      <c r="E214" s="65">
        <v>59.86</v>
      </c>
      <c r="F214" s="66">
        <v>32</v>
      </c>
      <c r="G214" s="66">
        <v>54</v>
      </c>
      <c r="H214" s="67">
        <f t="shared" si="4"/>
        <v>54.8</v>
      </c>
      <c r="I214" s="68">
        <v>0</v>
      </c>
      <c r="J214" s="69" t="s">
        <v>10</v>
      </c>
      <c r="K214" s="69">
        <v>384</v>
      </c>
      <c r="L214" s="70" t="str">
        <f>LOOKUP(J214,[1]Survey_Info!A:A,[1]Survey_Info!G:G)</f>
        <v>ACCUM</v>
      </c>
      <c r="M214" s="70">
        <f>LOOKUP(J214,[1]Survey_Info!A:A,[1]Survey_Info!D:D)</f>
        <v>1200</v>
      </c>
      <c r="N214" s="70">
        <f>LOOKUP(J214,[1]Survey_Info!A:A, [1]Survey_Info!J:J)</f>
        <v>180</v>
      </c>
      <c r="O214" s="70">
        <v>0</v>
      </c>
    </row>
    <row r="215" spans="1:15" s="70" customFormat="1" x14ac:dyDescent="0.25">
      <c r="A215" s="62" t="s">
        <v>281</v>
      </c>
      <c r="B215" s="63" t="s">
        <v>22</v>
      </c>
      <c r="C215" s="64">
        <v>15</v>
      </c>
      <c r="D215" s="64">
        <v>26</v>
      </c>
      <c r="E215" s="65">
        <v>59.86</v>
      </c>
      <c r="F215" s="66">
        <v>32</v>
      </c>
      <c r="G215" s="66">
        <v>55</v>
      </c>
      <c r="H215" s="67">
        <f t="shared" si="4"/>
        <v>4.7999999999999972</v>
      </c>
      <c r="I215" s="68">
        <v>0</v>
      </c>
      <c r="J215" s="69" t="s">
        <v>10</v>
      </c>
      <c r="K215" s="69">
        <v>382</v>
      </c>
      <c r="L215" s="70" t="str">
        <f>LOOKUP(J215,[1]Survey_Info!A:A,[1]Survey_Info!G:G)</f>
        <v>ACCUM</v>
      </c>
      <c r="M215" s="70">
        <f>LOOKUP(J215,[1]Survey_Info!A:A,[1]Survey_Info!D:D)</f>
        <v>1200</v>
      </c>
      <c r="N215" s="70">
        <f>LOOKUP(J215,[1]Survey_Info!A:A, [1]Survey_Info!J:J)</f>
        <v>180</v>
      </c>
      <c r="O215" s="70">
        <v>0</v>
      </c>
    </row>
    <row r="216" spans="1:15" s="70" customFormat="1" x14ac:dyDescent="0.25">
      <c r="A216" s="62" t="s">
        <v>282</v>
      </c>
      <c r="B216" s="63" t="s">
        <v>22</v>
      </c>
      <c r="C216" s="64">
        <v>15</v>
      </c>
      <c r="D216" s="64">
        <v>26</v>
      </c>
      <c r="E216" s="65">
        <v>59.86</v>
      </c>
      <c r="F216" s="66">
        <v>32</v>
      </c>
      <c r="G216" s="66">
        <v>55</v>
      </c>
      <c r="H216" s="67">
        <f t="shared" si="4"/>
        <v>14.799999999999997</v>
      </c>
      <c r="I216" s="68">
        <v>0</v>
      </c>
      <c r="J216" s="69" t="s">
        <v>10</v>
      </c>
      <c r="K216" s="69">
        <v>380</v>
      </c>
      <c r="L216" s="70" t="str">
        <f>LOOKUP(J216,[1]Survey_Info!A:A,[1]Survey_Info!G:G)</f>
        <v>ACCUM</v>
      </c>
      <c r="M216" s="70">
        <f>LOOKUP(J216,[1]Survey_Info!A:A,[1]Survey_Info!D:D)</f>
        <v>1200</v>
      </c>
      <c r="N216" s="70">
        <f>LOOKUP(J216,[1]Survey_Info!A:A, [1]Survey_Info!J:J)</f>
        <v>180</v>
      </c>
      <c r="O216" s="70">
        <v>0</v>
      </c>
    </row>
    <row r="217" spans="1:15" s="70" customFormat="1" x14ac:dyDescent="0.25">
      <c r="A217" s="62" t="s">
        <v>283</v>
      </c>
      <c r="B217" s="63" t="s">
        <v>22</v>
      </c>
      <c r="C217" s="64">
        <v>15</v>
      </c>
      <c r="D217" s="64">
        <v>26</v>
      </c>
      <c r="E217" s="65">
        <v>59.86</v>
      </c>
      <c r="F217" s="66">
        <v>32</v>
      </c>
      <c r="G217" s="66">
        <v>55</v>
      </c>
      <c r="H217" s="67">
        <f t="shared" si="4"/>
        <v>24.799999999999997</v>
      </c>
      <c r="I217" s="68">
        <v>0</v>
      </c>
      <c r="J217" s="69" t="s">
        <v>10</v>
      </c>
      <c r="K217" s="69">
        <v>378</v>
      </c>
      <c r="L217" s="70" t="str">
        <f>LOOKUP(J217,[1]Survey_Info!A:A,[1]Survey_Info!G:G)</f>
        <v>ACCUM</v>
      </c>
      <c r="M217" s="70">
        <f>LOOKUP(J217,[1]Survey_Info!A:A,[1]Survey_Info!D:D)</f>
        <v>1200</v>
      </c>
      <c r="N217" s="70">
        <f>LOOKUP(J217,[1]Survey_Info!A:A, [1]Survey_Info!J:J)</f>
        <v>180</v>
      </c>
      <c r="O217" s="70">
        <v>0</v>
      </c>
    </row>
    <row r="218" spans="1:15" s="70" customFormat="1" x14ac:dyDescent="0.25">
      <c r="A218" s="62" t="s">
        <v>284</v>
      </c>
      <c r="B218" s="63" t="s">
        <v>22</v>
      </c>
      <c r="C218" s="64">
        <v>15</v>
      </c>
      <c r="D218" s="64">
        <v>26</v>
      </c>
      <c r="E218" s="65">
        <v>59.86</v>
      </c>
      <c r="F218" s="66">
        <v>32</v>
      </c>
      <c r="G218" s="66">
        <v>55</v>
      </c>
      <c r="H218" s="67">
        <f t="shared" si="4"/>
        <v>34.799999999999997</v>
      </c>
      <c r="I218" s="68">
        <v>0</v>
      </c>
      <c r="J218" s="69" t="s">
        <v>10</v>
      </c>
      <c r="K218" s="69">
        <v>376</v>
      </c>
      <c r="L218" s="70" t="str">
        <f>LOOKUP(J218,[1]Survey_Info!A:A,[1]Survey_Info!G:G)</f>
        <v>ACCUM</v>
      </c>
      <c r="M218" s="70">
        <f>LOOKUP(J218,[1]Survey_Info!A:A,[1]Survey_Info!D:D)</f>
        <v>1200</v>
      </c>
      <c r="N218" s="70">
        <f>LOOKUP(J218,[1]Survey_Info!A:A, [1]Survey_Info!J:J)</f>
        <v>180</v>
      </c>
      <c r="O218" s="70">
        <v>0</v>
      </c>
    </row>
    <row r="219" spans="1:15" s="70" customFormat="1" x14ac:dyDescent="0.25">
      <c r="A219" s="62" t="s">
        <v>285</v>
      </c>
      <c r="B219" s="63" t="s">
        <v>22</v>
      </c>
      <c r="C219" s="64">
        <v>15</v>
      </c>
      <c r="D219" s="64">
        <v>26</v>
      </c>
      <c r="E219" s="65">
        <v>59.86</v>
      </c>
      <c r="F219" s="66">
        <v>32</v>
      </c>
      <c r="G219" s="66">
        <v>55</v>
      </c>
      <c r="H219" s="67">
        <f t="shared" si="4"/>
        <v>44.8</v>
      </c>
      <c r="I219" s="68">
        <v>0</v>
      </c>
      <c r="J219" s="69" t="s">
        <v>10</v>
      </c>
      <c r="K219" s="69">
        <v>374</v>
      </c>
      <c r="L219" s="70" t="str">
        <f>LOOKUP(J219,[1]Survey_Info!A:A,[1]Survey_Info!G:G)</f>
        <v>ACCUM</v>
      </c>
      <c r="M219" s="70">
        <f>LOOKUP(J219,[1]Survey_Info!A:A,[1]Survey_Info!D:D)</f>
        <v>1200</v>
      </c>
      <c r="N219" s="70">
        <f>LOOKUP(J219,[1]Survey_Info!A:A, [1]Survey_Info!J:J)</f>
        <v>180</v>
      </c>
      <c r="O219" s="70">
        <v>0</v>
      </c>
    </row>
    <row r="220" spans="1:15" s="70" customFormat="1" x14ac:dyDescent="0.25">
      <c r="A220" s="62" t="s">
        <v>286</v>
      </c>
      <c r="B220" s="63" t="s">
        <v>22</v>
      </c>
      <c r="C220" s="64">
        <v>15</v>
      </c>
      <c r="D220" s="64">
        <v>26</v>
      </c>
      <c r="E220" s="65">
        <v>59.86</v>
      </c>
      <c r="F220" s="66">
        <v>32</v>
      </c>
      <c r="G220" s="66">
        <v>55</v>
      </c>
      <c r="H220" s="67">
        <f t="shared" si="4"/>
        <v>54.8</v>
      </c>
      <c r="I220" s="68">
        <v>0</v>
      </c>
      <c r="J220" s="69" t="s">
        <v>10</v>
      </c>
      <c r="K220" s="69">
        <v>372</v>
      </c>
      <c r="L220" s="70" t="str">
        <f>LOOKUP(J220,[1]Survey_Info!A:A,[1]Survey_Info!G:G)</f>
        <v>ACCUM</v>
      </c>
      <c r="M220" s="70">
        <f>LOOKUP(J220,[1]Survey_Info!A:A,[1]Survey_Info!D:D)</f>
        <v>1200</v>
      </c>
      <c r="N220" s="70">
        <f>LOOKUP(J220,[1]Survey_Info!A:A, [1]Survey_Info!J:J)</f>
        <v>180</v>
      </c>
      <c r="O220" s="70">
        <v>0</v>
      </c>
    </row>
    <row r="221" spans="1:15" s="70" customFormat="1" x14ac:dyDescent="0.25">
      <c r="A221" s="62" t="s">
        <v>287</v>
      </c>
      <c r="B221" s="63" t="s">
        <v>22</v>
      </c>
      <c r="C221" s="64">
        <v>15</v>
      </c>
      <c r="D221" s="64">
        <v>26</v>
      </c>
      <c r="E221" s="65">
        <v>59.86</v>
      </c>
      <c r="F221" s="66">
        <v>32</v>
      </c>
      <c r="G221" s="66">
        <v>56</v>
      </c>
      <c r="H221" s="67">
        <f t="shared" si="4"/>
        <v>4.7999999999999972</v>
      </c>
      <c r="I221" s="68">
        <v>0</v>
      </c>
      <c r="J221" s="69" t="s">
        <v>10</v>
      </c>
      <c r="K221" s="69">
        <v>370</v>
      </c>
      <c r="L221" s="70" t="str">
        <f>LOOKUP(J221,[1]Survey_Info!A:A,[1]Survey_Info!G:G)</f>
        <v>ACCUM</v>
      </c>
      <c r="M221" s="70">
        <f>LOOKUP(J221,[1]Survey_Info!A:A,[1]Survey_Info!D:D)</f>
        <v>1200</v>
      </c>
      <c r="N221" s="70">
        <f>LOOKUP(J221,[1]Survey_Info!A:A, [1]Survey_Info!J:J)</f>
        <v>180</v>
      </c>
      <c r="O221" s="70">
        <v>0</v>
      </c>
    </row>
    <row r="222" spans="1:15" s="70" customFormat="1" x14ac:dyDescent="0.25">
      <c r="A222" s="62" t="s">
        <v>288</v>
      </c>
      <c r="B222" s="63" t="s">
        <v>22</v>
      </c>
      <c r="C222" s="64">
        <v>15</v>
      </c>
      <c r="D222" s="64">
        <v>26</v>
      </c>
      <c r="E222" s="65">
        <v>59.86</v>
      </c>
      <c r="F222" s="66">
        <v>32</v>
      </c>
      <c r="G222" s="66">
        <v>56</v>
      </c>
      <c r="H222" s="67">
        <f t="shared" si="4"/>
        <v>14.799999999999997</v>
      </c>
      <c r="I222" s="68">
        <v>0</v>
      </c>
      <c r="J222" s="69" t="s">
        <v>10</v>
      </c>
      <c r="K222" s="69">
        <v>368</v>
      </c>
      <c r="L222" s="70" t="str">
        <f>LOOKUP(J222,[1]Survey_Info!A:A,[1]Survey_Info!G:G)</f>
        <v>ACCUM</v>
      </c>
      <c r="M222" s="70">
        <f>LOOKUP(J222,[1]Survey_Info!A:A,[1]Survey_Info!D:D)</f>
        <v>1200</v>
      </c>
      <c r="N222" s="70">
        <f>LOOKUP(J222,[1]Survey_Info!A:A, [1]Survey_Info!J:J)</f>
        <v>180</v>
      </c>
      <c r="O222" s="70">
        <v>0</v>
      </c>
    </row>
    <row r="223" spans="1:15" s="70" customFormat="1" x14ac:dyDescent="0.25">
      <c r="A223" s="62" t="s">
        <v>289</v>
      </c>
      <c r="B223" s="63" t="s">
        <v>22</v>
      </c>
      <c r="C223" s="64">
        <v>15</v>
      </c>
      <c r="D223" s="64">
        <v>26</v>
      </c>
      <c r="E223" s="65">
        <v>59.86</v>
      </c>
      <c r="F223" s="66">
        <v>32</v>
      </c>
      <c r="G223" s="66">
        <v>56</v>
      </c>
      <c r="H223" s="67">
        <f t="shared" si="4"/>
        <v>24.799999999999997</v>
      </c>
      <c r="I223" s="68">
        <v>0</v>
      </c>
      <c r="J223" s="69" t="s">
        <v>10</v>
      </c>
      <c r="K223" s="69">
        <v>366</v>
      </c>
      <c r="L223" s="70" t="str">
        <f>LOOKUP(J223,[1]Survey_Info!A:A,[1]Survey_Info!G:G)</f>
        <v>ACCUM</v>
      </c>
      <c r="M223" s="70">
        <f>LOOKUP(J223,[1]Survey_Info!A:A,[1]Survey_Info!D:D)</f>
        <v>1200</v>
      </c>
      <c r="N223" s="70">
        <f>LOOKUP(J223,[1]Survey_Info!A:A, [1]Survey_Info!J:J)</f>
        <v>180</v>
      </c>
      <c r="O223" s="70">
        <v>0</v>
      </c>
    </row>
    <row r="224" spans="1:15" s="70" customFormat="1" x14ac:dyDescent="0.25">
      <c r="A224" s="62" t="s">
        <v>247</v>
      </c>
      <c r="B224" s="63" t="s">
        <v>22</v>
      </c>
      <c r="C224" s="64">
        <v>15</v>
      </c>
      <c r="D224" s="64">
        <v>26</v>
      </c>
      <c r="E224" s="65">
        <v>59.86</v>
      </c>
      <c r="F224" s="66">
        <v>32</v>
      </c>
      <c r="G224" s="66">
        <v>56</v>
      </c>
      <c r="H224" s="67">
        <f t="shared" si="4"/>
        <v>34.799999999999997</v>
      </c>
      <c r="I224" s="68">
        <v>0</v>
      </c>
      <c r="J224" s="69" t="s">
        <v>10</v>
      </c>
      <c r="K224" s="69">
        <v>364</v>
      </c>
      <c r="L224" s="70" t="str">
        <f>LOOKUP(J224,[1]Survey_Info!A:A,[1]Survey_Info!G:G)</f>
        <v>ACCUM</v>
      </c>
      <c r="M224" s="70">
        <f>LOOKUP(J224,[1]Survey_Info!A:A,[1]Survey_Info!D:D)</f>
        <v>1200</v>
      </c>
      <c r="N224" s="70">
        <f>LOOKUP(J224,[1]Survey_Info!A:A, [1]Survey_Info!J:J)</f>
        <v>180</v>
      </c>
      <c r="O224" s="70">
        <v>0</v>
      </c>
    </row>
    <row r="225" spans="1:15" s="70" customFormat="1" x14ac:dyDescent="0.25">
      <c r="A225" s="62" t="s">
        <v>246</v>
      </c>
      <c r="B225" s="63" t="s">
        <v>22</v>
      </c>
      <c r="C225" s="64">
        <v>15</v>
      </c>
      <c r="D225" s="64">
        <v>26</v>
      </c>
      <c r="E225" s="65">
        <v>59.86</v>
      </c>
      <c r="F225" s="66">
        <v>32</v>
      </c>
      <c r="G225" s="66">
        <v>56</v>
      </c>
      <c r="H225" s="67">
        <f t="shared" si="4"/>
        <v>44.8</v>
      </c>
      <c r="I225" s="68">
        <v>0</v>
      </c>
      <c r="J225" s="69" t="s">
        <v>10</v>
      </c>
      <c r="K225" s="69">
        <v>362</v>
      </c>
      <c r="L225" s="70" t="str">
        <f>LOOKUP(J225,[1]Survey_Info!A:A,[1]Survey_Info!G:G)</f>
        <v>ACCUM</v>
      </c>
      <c r="M225" s="70">
        <f>LOOKUP(J225,[1]Survey_Info!A:A,[1]Survey_Info!D:D)</f>
        <v>1200</v>
      </c>
      <c r="N225" s="70">
        <f>LOOKUP(J225,[1]Survey_Info!A:A, [1]Survey_Info!J:J)</f>
        <v>180</v>
      </c>
      <c r="O225" s="70">
        <v>0</v>
      </c>
    </row>
    <row r="226" spans="1:15" s="29" customFormat="1" x14ac:dyDescent="0.25">
      <c r="A226" s="57" t="s">
        <v>245</v>
      </c>
      <c r="B226" s="58" t="s">
        <v>22</v>
      </c>
      <c r="C226" s="59">
        <v>15</v>
      </c>
      <c r="D226" s="59">
        <v>26</v>
      </c>
      <c r="E226" s="60">
        <v>59.86</v>
      </c>
      <c r="F226" s="59">
        <v>32</v>
      </c>
      <c r="G226" s="59">
        <v>56</v>
      </c>
      <c r="H226" s="60">
        <v>54.8</v>
      </c>
      <c r="I226" s="61">
        <v>0</v>
      </c>
      <c r="J226" s="28" t="s">
        <v>10</v>
      </c>
      <c r="K226" s="28">
        <v>360</v>
      </c>
      <c r="L226" s="29" t="str">
        <f>LOOKUP(J226,[1]Survey_Info!A:A,[1]Survey_Info!G:G)</f>
        <v>ACCUM</v>
      </c>
      <c r="M226" s="29">
        <f>LOOKUP(J226,[1]Survey_Info!A:A,[1]Survey_Info!D:D)</f>
        <v>1200</v>
      </c>
      <c r="N226" s="29">
        <f>LOOKUP(J226,[1]Survey_Info!A:A, [1]Survey_Info!J:J)</f>
        <v>180</v>
      </c>
      <c r="O226" s="29">
        <v>0</v>
      </c>
    </row>
    <row r="227" spans="1:15" s="70" customFormat="1" x14ac:dyDescent="0.25">
      <c r="A227" s="62" t="s">
        <v>290</v>
      </c>
      <c r="B227" s="63" t="s">
        <v>22</v>
      </c>
      <c r="C227" s="64">
        <v>15</v>
      </c>
      <c r="D227" s="64">
        <v>26</v>
      </c>
      <c r="E227" s="65">
        <v>59.86</v>
      </c>
      <c r="F227" s="66">
        <v>32</v>
      </c>
      <c r="G227" s="66">
        <v>57</v>
      </c>
      <c r="H227" s="67">
        <f t="shared" ref="H227:H271" si="5">MOD(H226+10, 60)</f>
        <v>4.7999999999999972</v>
      </c>
      <c r="I227" s="68">
        <v>0</v>
      </c>
      <c r="J227" s="69" t="s">
        <v>10</v>
      </c>
      <c r="K227" s="69">
        <v>450</v>
      </c>
      <c r="L227" s="70" t="str">
        <f>LOOKUP(J227,[1]Survey_Info!A:A,[1]Survey_Info!G:G)</f>
        <v>ACCUM</v>
      </c>
      <c r="M227" s="70">
        <f>LOOKUP(J227,[1]Survey_Info!A:A,[1]Survey_Info!D:D)</f>
        <v>1200</v>
      </c>
      <c r="N227" s="70">
        <f>LOOKUP(J227,[1]Survey_Info!A:A, [1]Survey_Info!J:J)</f>
        <v>180</v>
      </c>
      <c r="O227" s="70">
        <v>0</v>
      </c>
    </row>
    <row r="228" spans="1:15" s="70" customFormat="1" x14ac:dyDescent="0.25">
      <c r="A228" s="62" t="s">
        <v>291</v>
      </c>
      <c r="B228" s="63" t="s">
        <v>22</v>
      </c>
      <c r="C228" s="64">
        <v>15</v>
      </c>
      <c r="D228" s="64">
        <v>26</v>
      </c>
      <c r="E228" s="65">
        <v>59.86</v>
      </c>
      <c r="F228" s="66">
        <v>32</v>
      </c>
      <c r="G228" s="66">
        <v>57</v>
      </c>
      <c r="H228" s="67">
        <f t="shared" si="5"/>
        <v>14.799999999999997</v>
      </c>
      <c r="I228" s="68">
        <v>0</v>
      </c>
      <c r="J228" s="69" t="s">
        <v>10</v>
      </c>
      <c r="K228" s="69">
        <v>452</v>
      </c>
      <c r="L228" s="70" t="str">
        <f>LOOKUP(J228,[1]Survey_Info!A:A,[1]Survey_Info!G:G)</f>
        <v>ACCUM</v>
      </c>
      <c r="M228" s="70">
        <f>LOOKUP(J228,[1]Survey_Info!A:A,[1]Survey_Info!D:D)</f>
        <v>1200</v>
      </c>
      <c r="N228" s="70">
        <f>LOOKUP(J228,[1]Survey_Info!A:A, [1]Survey_Info!J:J)</f>
        <v>180</v>
      </c>
      <c r="O228" s="70">
        <v>0</v>
      </c>
    </row>
    <row r="229" spans="1:15" s="70" customFormat="1" x14ac:dyDescent="0.25">
      <c r="A229" s="62" t="s">
        <v>292</v>
      </c>
      <c r="B229" s="63" t="s">
        <v>22</v>
      </c>
      <c r="C229" s="64">
        <v>15</v>
      </c>
      <c r="D229" s="64">
        <v>26</v>
      </c>
      <c r="E229" s="65">
        <v>59.86</v>
      </c>
      <c r="F229" s="66">
        <v>32</v>
      </c>
      <c r="G229" s="66">
        <v>57</v>
      </c>
      <c r="H229" s="67">
        <f t="shared" si="5"/>
        <v>24.799999999999997</v>
      </c>
      <c r="I229" s="68">
        <v>0</v>
      </c>
      <c r="J229" s="69" t="s">
        <v>10</v>
      </c>
      <c r="K229" s="69">
        <v>454</v>
      </c>
      <c r="L229" s="70" t="str">
        <f>LOOKUP(J229,[1]Survey_Info!A:A,[1]Survey_Info!G:G)</f>
        <v>ACCUM</v>
      </c>
      <c r="M229" s="70">
        <f>LOOKUP(J229,[1]Survey_Info!A:A,[1]Survey_Info!D:D)</f>
        <v>1200</v>
      </c>
      <c r="N229" s="70">
        <f>LOOKUP(J229,[1]Survey_Info!A:A, [1]Survey_Info!J:J)</f>
        <v>180</v>
      </c>
      <c r="O229" s="70">
        <v>0</v>
      </c>
    </row>
    <row r="230" spans="1:15" s="70" customFormat="1" x14ac:dyDescent="0.25">
      <c r="A230" s="62" t="s">
        <v>293</v>
      </c>
      <c r="B230" s="63" t="s">
        <v>22</v>
      </c>
      <c r="C230" s="64">
        <v>15</v>
      </c>
      <c r="D230" s="64">
        <v>26</v>
      </c>
      <c r="E230" s="65">
        <v>59.86</v>
      </c>
      <c r="F230" s="66">
        <v>32</v>
      </c>
      <c r="G230" s="66">
        <v>57</v>
      </c>
      <c r="H230" s="67">
        <f t="shared" si="5"/>
        <v>34.799999999999997</v>
      </c>
      <c r="I230" s="68">
        <v>0</v>
      </c>
      <c r="J230" s="69" t="s">
        <v>10</v>
      </c>
      <c r="K230" s="69">
        <v>456</v>
      </c>
      <c r="L230" s="70" t="str">
        <f>LOOKUP(J230,[1]Survey_Info!A:A,[1]Survey_Info!G:G)</f>
        <v>ACCUM</v>
      </c>
      <c r="M230" s="70">
        <f>LOOKUP(J230,[1]Survey_Info!A:A,[1]Survey_Info!D:D)</f>
        <v>1200</v>
      </c>
      <c r="N230" s="70">
        <f>LOOKUP(J230,[1]Survey_Info!A:A, [1]Survey_Info!J:J)</f>
        <v>180</v>
      </c>
      <c r="O230" s="70">
        <v>0</v>
      </c>
    </row>
    <row r="231" spans="1:15" s="70" customFormat="1" x14ac:dyDescent="0.25">
      <c r="A231" s="62" t="s">
        <v>294</v>
      </c>
      <c r="B231" s="63" t="s">
        <v>22</v>
      </c>
      <c r="C231" s="64">
        <v>15</v>
      </c>
      <c r="D231" s="64">
        <v>26</v>
      </c>
      <c r="E231" s="65">
        <v>59.86</v>
      </c>
      <c r="F231" s="66">
        <v>32</v>
      </c>
      <c r="G231" s="66">
        <v>57</v>
      </c>
      <c r="H231" s="67">
        <f t="shared" si="5"/>
        <v>44.8</v>
      </c>
      <c r="I231" s="68">
        <v>0</v>
      </c>
      <c r="J231" s="69" t="s">
        <v>10</v>
      </c>
      <c r="K231" s="69">
        <v>458</v>
      </c>
      <c r="L231" s="70" t="str">
        <f>LOOKUP(J231,[1]Survey_Info!A:A,[1]Survey_Info!G:G)</f>
        <v>ACCUM</v>
      </c>
      <c r="M231" s="70">
        <f>LOOKUP(J231,[1]Survey_Info!A:A,[1]Survey_Info!D:D)</f>
        <v>1200</v>
      </c>
      <c r="N231" s="70">
        <f>LOOKUP(J231,[1]Survey_Info!A:A, [1]Survey_Info!J:J)</f>
        <v>180</v>
      </c>
      <c r="O231" s="70">
        <v>0</v>
      </c>
    </row>
    <row r="232" spans="1:15" s="70" customFormat="1" x14ac:dyDescent="0.25">
      <c r="A232" s="62" t="s">
        <v>295</v>
      </c>
      <c r="B232" s="63" t="s">
        <v>22</v>
      </c>
      <c r="C232" s="64">
        <v>15</v>
      </c>
      <c r="D232" s="64">
        <v>26</v>
      </c>
      <c r="E232" s="65">
        <v>59.86</v>
      </c>
      <c r="F232" s="66">
        <v>32</v>
      </c>
      <c r="G232" s="66">
        <v>57</v>
      </c>
      <c r="H232" s="67">
        <f t="shared" si="5"/>
        <v>54.8</v>
      </c>
      <c r="I232" s="68">
        <v>0</v>
      </c>
      <c r="J232" s="69" t="s">
        <v>10</v>
      </c>
      <c r="K232" s="69">
        <v>460</v>
      </c>
      <c r="L232" s="70" t="str">
        <f>LOOKUP(J232,[1]Survey_Info!A:A,[1]Survey_Info!G:G)</f>
        <v>ACCUM</v>
      </c>
      <c r="M232" s="70">
        <f>LOOKUP(J232,[1]Survey_Info!A:A,[1]Survey_Info!D:D)</f>
        <v>1200</v>
      </c>
      <c r="N232" s="70">
        <f>LOOKUP(J232,[1]Survey_Info!A:A, [1]Survey_Info!J:J)</f>
        <v>180</v>
      </c>
      <c r="O232" s="70">
        <v>0</v>
      </c>
    </row>
    <row r="233" spans="1:15" s="70" customFormat="1" x14ac:dyDescent="0.25">
      <c r="A233" s="62" t="s">
        <v>296</v>
      </c>
      <c r="B233" s="63" t="s">
        <v>22</v>
      </c>
      <c r="C233" s="64">
        <v>15</v>
      </c>
      <c r="D233" s="64">
        <v>26</v>
      </c>
      <c r="E233" s="65">
        <v>59.86</v>
      </c>
      <c r="F233" s="66">
        <v>32</v>
      </c>
      <c r="G233" s="66">
        <v>58</v>
      </c>
      <c r="H233" s="67">
        <f t="shared" si="5"/>
        <v>4.7999999999999972</v>
      </c>
      <c r="I233" s="68">
        <v>0</v>
      </c>
      <c r="J233" s="69" t="s">
        <v>10</v>
      </c>
      <c r="K233" s="69">
        <v>462</v>
      </c>
      <c r="L233" s="70" t="str">
        <f>LOOKUP(J233,[1]Survey_Info!A:A,[1]Survey_Info!G:G)</f>
        <v>ACCUM</v>
      </c>
      <c r="M233" s="70">
        <f>LOOKUP(J233,[1]Survey_Info!A:A,[1]Survey_Info!D:D)</f>
        <v>1200</v>
      </c>
      <c r="N233" s="70">
        <f>LOOKUP(J233,[1]Survey_Info!A:A, [1]Survey_Info!J:J)</f>
        <v>180</v>
      </c>
      <c r="O233" s="70">
        <v>0</v>
      </c>
    </row>
    <row r="234" spans="1:15" s="70" customFormat="1" x14ac:dyDescent="0.25">
      <c r="A234" s="62" t="s">
        <v>297</v>
      </c>
      <c r="B234" s="63" t="s">
        <v>22</v>
      </c>
      <c r="C234" s="64">
        <v>15</v>
      </c>
      <c r="D234" s="64">
        <v>26</v>
      </c>
      <c r="E234" s="65">
        <v>59.86</v>
      </c>
      <c r="F234" s="66">
        <v>32</v>
      </c>
      <c r="G234" s="66">
        <v>58</v>
      </c>
      <c r="H234" s="67">
        <f t="shared" si="5"/>
        <v>14.799999999999997</v>
      </c>
      <c r="I234" s="68">
        <v>0</v>
      </c>
      <c r="J234" s="69" t="s">
        <v>10</v>
      </c>
      <c r="K234" s="69">
        <v>464</v>
      </c>
      <c r="L234" s="70" t="str">
        <f>LOOKUP(J234,[1]Survey_Info!A:A,[1]Survey_Info!G:G)</f>
        <v>ACCUM</v>
      </c>
      <c r="M234" s="70">
        <f>LOOKUP(J234,[1]Survey_Info!A:A,[1]Survey_Info!D:D)</f>
        <v>1200</v>
      </c>
      <c r="N234" s="70">
        <f>LOOKUP(J234,[1]Survey_Info!A:A, [1]Survey_Info!J:J)</f>
        <v>180</v>
      </c>
      <c r="O234" s="70">
        <v>0</v>
      </c>
    </row>
    <row r="235" spans="1:15" s="70" customFormat="1" x14ac:dyDescent="0.25">
      <c r="A235" s="62" t="s">
        <v>298</v>
      </c>
      <c r="B235" s="63" t="s">
        <v>22</v>
      </c>
      <c r="C235" s="64">
        <v>15</v>
      </c>
      <c r="D235" s="64">
        <v>26</v>
      </c>
      <c r="E235" s="65">
        <v>59.86</v>
      </c>
      <c r="F235" s="66">
        <v>32</v>
      </c>
      <c r="G235" s="66">
        <v>58</v>
      </c>
      <c r="H235" s="67">
        <f t="shared" si="5"/>
        <v>24.799999999999997</v>
      </c>
      <c r="I235" s="68">
        <v>0</v>
      </c>
      <c r="J235" s="69" t="s">
        <v>10</v>
      </c>
      <c r="K235" s="69">
        <v>466</v>
      </c>
      <c r="L235" s="70" t="str">
        <f>LOOKUP(J235,[1]Survey_Info!A:A,[1]Survey_Info!G:G)</f>
        <v>ACCUM</v>
      </c>
      <c r="M235" s="70">
        <f>LOOKUP(J235,[1]Survey_Info!A:A,[1]Survey_Info!D:D)</f>
        <v>1200</v>
      </c>
      <c r="N235" s="70">
        <f>LOOKUP(J235,[1]Survey_Info!A:A, [1]Survey_Info!J:J)</f>
        <v>180</v>
      </c>
      <c r="O235" s="70">
        <v>0</v>
      </c>
    </row>
    <row r="236" spans="1:15" s="70" customFormat="1" x14ac:dyDescent="0.25">
      <c r="A236" s="62" t="s">
        <v>299</v>
      </c>
      <c r="B236" s="63" t="s">
        <v>22</v>
      </c>
      <c r="C236" s="64">
        <v>15</v>
      </c>
      <c r="D236" s="64">
        <v>26</v>
      </c>
      <c r="E236" s="65">
        <v>59.86</v>
      </c>
      <c r="F236" s="66">
        <v>32</v>
      </c>
      <c r="G236" s="66">
        <v>58</v>
      </c>
      <c r="H236" s="67">
        <f t="shared" si="5"/>
        <v>34.799999999999997</v>
      </c>
      <c r="I236" s="68">
        <v>0</v>
      </c>
      <c r="J236" s="69" t="s">
        <v>10</v>
      </c>
      <c r="K236" s="69">
        <v>468</v>
      </c>
      <c r="L236" s="70" t="str">
        <f>LOOKUP(J236,[1]Survey_Info!A:A,[1]Survey_Info!G:G)</f>
        <v>ACCUM</v>
      </c>
      <c r="M236" s="70">
        <f>LOOKUP(J236,[1]Survey_Info!A:A,[1]Survey_Info!D:D)</f>
        <v>1200</v>
      </c>
      <c r="N236" s="70">
        <f>LOOKUP(J236,[1]Survey_Info!A:A, [1]Survey_Info!J:J)</f>
        <v>180</v>
      </c>
      <c r="O236" s="70">
        <v>0</v>
      </c>
    </row>
    <row r="237" spans="1:15" s="70" customFormat="1" x14ac:dyDescent="0.25">
      <c r="A237" s="62" t="s">
        <v>300</v>
      </c>
      <c r="B237" s="63" t="s">
        <v>22</v>
      </c>
      <c r="C237" s="64">
        <v>15</v>
      </c>
      <c r="D237" s="64">
        <v>26</v>
      </c>
      <c r="E237" s="65">
        <v>59.86</v>
      </c>
      <c r="F237" s="66">
        <v>32</v>
      </c>
      <c r="G237" s="66">
        <v>58</v>
      </c>
      <c r="H237" s="67">
        <f t="shared" si="5"/>
        <v>44.8</v>
      </c>
      <c r="I237" s="68">
        <v>0</v>
      </c>
      <c r="J237" s="69" t="s">
        <v>10</v>
      </c>
      <c r="K237" s="69">
        <v>470</v>
      </c>
      <c r="L237" s="70" t="str">
        <f>LOOKUP(J237,[1]Survey_Info!A:A,[1]Survey_Info!G:G)</f>
        <v>ACCUM</v>
      </c>
      <c r="M237" s="70">
        <f>LOOKUP(J237,[1]Survey_Info!A:A,[1]Survey_Info!D:D)</f>
        <v>1200</v>
      </c>
      <c r="N237" s="70">
        <f>LOOKUP(J237,[1]Survey_Info!A:A, [1]Survey_Info!J:J)</f>
        <v>180</v>
      </c>
      <c r="O237" s="70">
        <v>0</v>
      </c>
    </row>
    <row r="238" spans="1:15" s="70" customFormat="1" x14ac:dyDescent="0.25">
      <c r="A238" s="62" t="s">
        <v>301</v>
      </c>
      <c r="B238" s="63" t="s">
        <v>22</v>
      </c>
      <c r="C238" s="64">
        <v>15</v>
      </c>
      <c r="D238" s="64">
        <v>26</v>
      </c>
      <c r="E238" s="65">
        <v>59.86</v>
      </c>
      <c r="F238" s="66">
        <v>32</v>
      </c>
      <c r="G238" s="66">
        <v>58</v>
      </c>
      <c r="H238" s="67">
        <f t="shared" si="5"/>
        <v>54.8</v>
      </c>
      <c r="I238" s="68">
        <v>0</v>
      </c>
      <c r="J238" s="69" t="s">
        <v>10</v>
      </c>
      <c r="K238" s="69">
        <v>472</v>
      </c>
      <c r="L238" s="70" t="str">
        <f>LOOKUP(J238,[1]Survey_Info!A:A,[1]Survey_Info!G:G)</f>
        <v>ACCUM</v>
      </c>
      <c r="M238" s="70">
        <f>LOOKUP(J238,[1]Survey_Info!A:A,[1]Survey_Info!D:D)</f>
        <v>1200</v>
      </c>
      <c r="N238" s="70">
        <f>LOOKUP(J238,[1]Survey_Info!A:A, [1]Survey_Info!J:J)</f>
        <v>180</v>
      </c>
      <c r="O238" s="70">
        <v>0</v>
      </c>
    </row>
    <row r="239" spans="1:15" s="70" customFormat="1" x14ac:dyDescent="0.25">
      <c r="A239" s="62" t="s">
        <v>302</v>
      </c>
      <c r="B239" s="63" t="s">
        <v>22</v>
      </c>
      <c r="C239" s="64">
        <v>15</v>
      </c>
      <c r="D239" s="64">
        <v>26</v>
      </c>
      <c r="E239" s="65">
        <v>59.86</v>
      </c>
      <c r="F239" s="66">
        <v>32</v>
      </c>
      <c r="G239" s="66">
        <v>59</v>
      </c>
      <c r="H239" s="67">
        <f t="shared" si="5"/>
        <v>4.7999999999999972</v>
      </c>
      <c r="I239" s="68">
        <v>0</v>
      </c>
      <c r="J239" s="69" t="s">
        <v>10</v>
      </c>
      <c r="K239" s="69">
        <v>474</v>
      </c>
      <c r="L239" s="70" t="str">
        <f>LOOKUP(J239,[1]Survey_Info!A:A,[1]Survey_Info!G:G)</f>
        <v>ACCUM</v>
      </c>
      <c r="M239" s="70">
        <f>LOOKUP(J239,[1]Survey_Info!A:A,[1]Survey_Info!D:D)</f>
        <v>1200</v>
      </c>
      <c r="N239" s="70">
        <f>LOOKUP(J239,[1]Survey_Info!A:A, [1]Survey_Info!J:J)</f>
        <v>180</v>
      </c>
      <c r="O239" s="70">
        <v>0</v>
      </c>
    </row>
    <row r="240" spans="1:15" s="70" customFormat="1" x14ac:dyDescent="0.25">
      <c r="A240" s="62" t="s">
        <v>303</v>
      </c>
      <c r="B240" s="63" t="s">
        <v>22</v>
      </c>
      <c r="C240" s="64">
        <v>15</v>
      </c>
      <c r="D240" s="64">
        <v>26</v>
      </c>
      <c r="E240" s="65">
        <v>59.86</v>
      </c>
      <c r="F240" s="66">
        <v>32</v>
      </c>
      <c r="G240" s="66">
        <v>59</v>
      </c>
      <c r="H240" s="67">
        <f t="shared" si="5"/>
        <v>14.799999999999997</v>
      </c>
      <c r="I240" s="68">
        <v>0</v>
      </c>
      <c r="J240" s="69" t="s">
        <v>10</v>
      </c>
      <c r="K240" s="69">
        <v>476</v>
      </c>
      <c r="L240" s="70" t="str">
        <f>LOOKUP(J240,[1]Survey_Info!A:A,[1]Survey_Info!G:G)</f>
        <v>ACCUM</v>
      </c>
      <c r="M240" s="70">
        <f>LOOKUP(J240,[1]Survey_Info!A:A,[1]Survey_Info!D:D)</f>
        <v>1200</v>
      </c>
      <c r="N240" s="70">
        <f>LOOKUP(J240,[1]Survey_Info!A:A, [1]Survey_Info!J:J)</f>
        <v>180</v>
      </c>
      <c r="O240" s="70">
        <v>0</v>
      </c>
    </row>
    <row r="241" spans="1:15" s="70" customFormat="1" x14ac:dyDescent="0.25">
      <c r="A241" s="62" t="s">
        <v>304</v>
      </c>
      <c r="B241" s="63" t="s">
        <v>22</v>
      </c>
      <c r="C241" s="64">
        <v>15</v>
      </c>
      <c r="D241" s="64">
        <v>26</v>
      </c>
      <c r="E241" s="65">
        <v>59.86</v>
      </c>
      <c r="F241" s="66">
        <v>32</v>
      </c>
      <c r="G241" s="66">
        <v>59</v>
      </c>
      <c r="H241" s="67">
        <f t="shared" si="5"/>
        <v>24.799999999999997</v>
      </c>
      <c r="I241" s="68">
        <v>0</v>
      </c>
      <c r="J241" s="69" t="s">
        <v>10</v>
      </c>
      <c r="K241" s="69">
        <v>478</v>
      </c>
      <c r="L241" s="70" t="str">
        <f>LOOKUP(J241,[1]Survey_Info!A:A,[1]Survey_Info!G:G)</f>
        <v>ACCUM</v>
      </c>
      <c r="M241" s="70">
        <f>LOOKUP(J241,[1]Survey_Info!A:A,[1]Survey_Info!D:D)</f>
        <v>1200</v>
      </c>
      <c r="N241" s="70">
        <f>LOOKUP(J241,[1]Survey_Info!A:A, [1]Survey_Info!J:J)</f>
        <v>180</v>
      </c>
      <c r="O241" s="70">
        <v>0</v>
      </c>
    </row>
    <row r="242" spans="1:15" s="70" customFormat="1" x14ac:dyDescent="0.25">
      <c r="A242" s="62" t="s">
        <v>305</v>
      </c>
      <c r="B242" s="63" t="s">
        <v>22</v>
      </c>
      <c r="C242" s="64">
        <v>15</v>
      </c>
      <c r="D242" s="64">
        <v>26</v>
      </c>
      <c r="E242" s="65">
        <v>59.86</v>
      </c>
      <c r="F242" s="66">
        <v>32</v>
      </c>
      <c r="G242" s="66">
        <v>59</v>
      </c>
      <c r="H242" s="67">
        <f t="shared" si="5"/>
        <v>34.799999999999997</v>
      </c>
      <c r="I242" s="68">
        <v>0</v>
      </c>
      <c r="J242" s="69" t="s">
        <v>10</v>
      </c>
      <c r="K242" s="69">
        <v>480</v>
      </c>
      <c r="L242" s="70" t="str">
        <f>LOOKUP(J242,[1]Survey_Info!A:A,[1]Survey_Info!G:G)</f>
        <v>ACCUM</v>
      </c>
      <c r="M242" s="70">
        <f>LOOKUP(J242,[1]Survey_Info!A:A,[1]Survey_Info!D:D)</f>
        <v>1200</v>
      </c>
      <c r="N242" s="70">
        <f>LOOKUP(J242,[1]Survey_Info!A:A, [1]Survey_Info!J:J)</f>
        <v>180</v>
      </c>
      <c r="O242" s="70">
        <v>0</v>
      </c>
    </row>
    <row r="243" spans="1:15" s="70" customFormat="1" x14ac:dyDescent="0.25">
      <c r="A243" s="62" t="s">
        <v>306</v>
      </c>
      <c r="B243" s="63" t="s">
        <v>22</v>
      </c>
      <c r="C243" s="64">
        <v>15</v>
      </c>
      <c r="D243" s="64">
        <v>26</v>
      </c>
      <c r="E243" s="65">
        <v>59.86</v>
      </c>
      <c r="F243" s="66">
        <v>32</v>
      </c>
      <c r="G243" s="66">
        <v>59</v>
      </c>
      <c r="H243" s="67">
        <f t="shared" si="5"/>
        <v>44.8</v>
      </c>
      <c r="I243" s="68">
        <v>0</v>
      </c>
      <c r="J243" s="69" t="s">
        <v>10</v>
      </c>
      <c r="K243" s="69">
        <v>482</v>
      </c>
      <c r="L243" s="70" t="str">
        <f>LOOKUP(J243,[1]Survey_Info!A:A,[1]Survey_Info!G:G)</f>
        <v>ACCUM</v>
      </c>
      <c r="M243" s="70">
        <f>LOOKUP(J243,[1]Survey_Info!A:A,[1]Survey_Info!D:D)</f>
        <v>1200</v>
      </c>
      <c r="N243" s="70">
        <f>LOOKUP(J243,[1]Survey_Info!A:A, [1]Survey_Info!J:J)</f>
        <v>180</v>
      </c>
      <c r="O243" s="70">
        <v>0</v>
      </c>
    </row>
    <row r="244" spans="1:15" s="70" customFormat="1" x14ac:dyDescent="0.25">
      <c r="A244" s="62" t="s">
        <v>307</v>
      </c>
      <c r="B244" s="63" t="s">
        <v>22</v>
      </c>
      <c r="C244" s="64">
        <v>15</v>
      </c>
      <c r="D244" s="64">
        <v>26</v>
      </c>
      <c r="E244" s="65">
        <v>59.86</v>
      </c>
      <c r="F244" s="66">
        <v>32</v>
      </c>
      <c r="G244" s="66">
        <v>59</v>
      </c>
      <c r="H244" s="67">
        <f t="shared" si="5"/>
        <v>54.8</v>
      </c>
      <c r="I244" s="68">
        <v>0</v>
      </c>
      <c r="J244" s="69" t="s">
        <v>10</v>
      </c>
      <c r="K244" s="69">
        <v>484</v>
      </c>
      <c r="L244" s="70" t="str">
        <f>LOOKUP(J244,[1]Survey_Info!A:A,[1]Survey_Info!G:G)</f>
        <v>ACCUM</v>
      </c>
      <c r="M244" s="70">
        <f>LOOKUP(J244,[1]Survey_Info!A:A,[1]Survey_Info!D:D)</f>
        <v>1200</v>
      </c>
      <c r="N244" s="70">
        <f>LOOKUP(J244,[1]Survey_Info!A:A, [1]Survey_Info!J:J)</f>
        <v>180</v>
      </c>
      <c r="O244" s="70">
        <v>0</v>
      </c>
    </row>
    <row r="245" spans="1:15" s="70" customFormat="1" x14ac:dyDescent="0.25">
      <c r="A245" s="62" t="s">
        <v>308</v>
      </c>
      <c r="B245" s="63" t="s">
        <v>22</v>
      </c>
      <c r="C245" s="64">
        <v>15</v>
      </c>
      <c r="D245" s="64">
        <v>26</v>
      </c>
      <c r="E245" s="65">
        <v>59.86</v>
      </c>
      <c r="F245" s="66">
        <v>33</v>
      </c>
      <c r="G245" s="66">
        <v>1</v>
      </c>
      <c r="H245" s="67">
        <f t="shared" si="5"/>
        <v>4.7999999999999972</v>
      </c>
      <c r="I245" s="68">
        <v>0</v>
      </c>
      <c r="J245" s="69" t="s">
        <v>10</v>
      </c>
      <c r="K245" s="69">
        <v>486</v>
      </c>
      <c r="L245" s="70" t="str">
        <f>LOOKUP(J245,[1]Survey_Info!A:A,[1]Survey_Info!G:G)</f>
        <v>ACCUM</v>
      </c>
      <c r="M245" s="70">
        <f>LOOKUP(J245,[1]Survey_Info!A:A,[1]Survey_Info!D:D)</f>
        <v>1200</v>
      </c>
      <c r="N245" s="70">
        <f>LOOKUP(J245,[1]Survey_Info!A:A, [1]Survey_Info!J:J)</f>
        <v>180</v>
      </c>
      <c r="O245" s="70">
        <v>0</v>
      </c>
    </row>
    <row r="246" spans="1:15" s="70" customFormat="1" x14ac:dyDescent="0.25">
      <c r="A246" s="62" t="s">
        <v>309</v>
      </c>
      <c r="B246" s="63" t="s">
        <v>22</v>
      </c>
      <c r="C246" s="64">
        <v>15</v>
      </c>
      <c r="D246" s="64">
        <v>26</v>
      </c>
      <c r="E246" s="65">
        <v>59.86</v>
      </c>
      <c r="F246" s="66">
        <v>33</v>
      </c>
      <c r="G246" s="66">
        <v>1</v>
      </c>
      <c r="H246" s="67">
        <f t="shared" si="5"/>
        <v>14.799999999999997</v>
      </c>
      <c r="I246" s="68">
        <v>0</v>
      </c>
      <c r="J246" s="69" t="s">
        <v>10</v>
      </c>
      <c r="K246" s="69">
        <v>488</v>
      </c>
      <c r="L246" s="70" t="str">
        <f>LOOKUP(J246,[1]Survey_Info!A:A,[1]Survey_Info!G:G)</f>
        <v>ACCUM</v>
      </c>
      <c r="M246" s="70">
        <f>LOOKUP(J246,[1]Survey_Info!A:A,[1]Survey_Info!D:D)</f>
        <v>1200</v>
      </c>
      <c r="N246" s="70">
        <f>LOOKUP(J246,[1]Survey_Info!A:A, [1]Survey_Info!J:J)</f>
        <v>180</v>
      </c>
      <c r="O246" s="70">
        <v>0</v>
      </c>
    </row>
    <row r="247" spans="1:15" s="70" customFormat="1" x14ac:dyDescent="0.25">
      <c r="A247" s="62" t="s">
        <v>310</v>
      </c>
      <c r="B247" s="63" t="s">
        <v>22</v>
      </c>
      <c r="C247" s="64">
        <v>15</v>
      </c>
      <c r="D247" s="64">
        <v>26</v>
      </c>
      <c r="E247" s="65">
        <v>59.86</v>
      </c>
      <c r="F247" s="66">
        <v>33</v>
      </c>
      <c r="G247" s="66">
        <v>1</v>
      </c>
      <c r="H247" s="67">
        <f t="shared" si="5"/>
        <v>24.799999999999997</v>
      </c>
      <c r="I247" s="68">
        <v>0</v>
      </c>
      <c r="J247" s="69" t="s">
        <v>10</v>
      </c>
      <c r="K247" s="69">
        <v>490</v>
      </c>
      <c r="L247" s="70" t="str">
        <f>LOOKUP(J247,[1]Survey_Info!A:A,[1]Survey_Info!G:G)</f>
        <v>ACCUM</v>
      </c>
      <c r="M247" s="70">
        <f>LOOKUP(J247,[1]Survey_Info!A:A,[1]Survey_Info!D:D)</f>
        <v>1200</v>
      </c>
      <c r="N247" s="70">
        <f>LOOKUP(J247,[1]Survey_Info!A:A, [1]Survey_Info!J:J)</f>
        <v>180</v>
      </c>
      <c r="O247" s="70">
        <v>0</v>
      </c>
    </row>
    <row r="248" spans="1:15" s="70" customFormat="1" x14ac:dyDescent="0.25">
      <c r="A248" s="62" t="s">
        <v>311</v>
      </c>
      <c r="B248" s="63" t="s">
        <v>22</v>
      </c>
      <c r="C248" s="64">
        <v>15</v>
      </c>
      <c r="D248" s="64">
        <v>26</v>
      </c>
      <c r="E248" s="65">
        <v>59.86</v>
      </c>
      <c r="F248" s="66">
        <v>33</v>
      </c>
      <c r="G248" s="66">
        <v>1</v>
      </c>
      <c r="H248" s="67">
        <f t="shared" si="5"/>
        <v>34.799999999999997</v>
      </c>
      <c r="I248" s="68">
        <v>0</v>
      </c>
      <c r="J248" s="69" t="s">
        <v>10</v>
      </c>
      <c r="K248" s="69">
        <v>492</v>
      </c>
      <c r="L248" s="70" t="str">
        <f>LOOKUP(J248,[1]Survey_Info!A:A,[1]Survey_Info!G:G)</f>
        <v>ACCUM</v>
      </c>
      <c r="M248" s="70">
        <f>LOOKUP(J248,[1]Survey_Info!A:A,[1]Survey_Info!D:D)</f>
        <v>1200</v>
      </c>
      <c r="N248" s="70">
        <f>LOOKUP(J248,[1]Survey_Info!A:A, [1]Survey_Info!J:J)</f>
        <v>180</v>
      </c>
      <c r="O248" s="70">
        <v>0</v>
      </c>
    </row>
    <row r="249" spans="1:15" s="70" customFormat="1" x14ac:dyDescent="0.25">
      <c r="A249" s="62" t="s">
        <v>312</v>
      </c>
      <c r="B249" s="63" t="s">
        <v>22</v>
      </c>
      <c r="C249" s="64">
        <v>15</v>
      </c>
      <c r="D249" s="64">
        <v>26</v>
      </c>
      <c r="E249" s="65">
        <v>59.86</v>
      </c>
      <c r="F249" s="66">
        <v>33</v>
      </c>
      <c r="G249" s="66">
        <v>1</v>
      </c>
      <c r="H249" s="67">
        <f t="shared" si="5"/>
        <v>44.8</v>
      </c>
      <c r="I249" s="68">
        <v>0</v>
      </c>
      <c r="J249" s="69" t="s">
        <v>10</v>
      </c>
      <c r="K249" s="69">
        <v>494</v>
      </c>
      <c r="L249" s="70" t="str">
        <f>LOOKUP(J249,[1]Survey_Info!A:A,[1]Survey_Info!G:G)</f>
        <v>ACCUM</v>
      </c>
      <c r="M249" s="70">
        <f>LOOKUP(J249,[1]Survey_Info!A:A,[1]Survey_Info!D:D)</f>
        <v>1200</v>
      </c>
      <c r="N249" s="70">
        <f>LOOKUP(J249,[1]Survey_Info!A:A, [1]Survey_Info!J:J)</f>
        <v>180</v>
      </c>
      <c r="O249" s="70">
        <v>0</v>
      </c>
    </row>
    <row r="250" spans="1:15" s="70" customFormat="1" x14ac:dyDescent="0.25">
      <c r="A250" s="62" t="s">
        <v>313</v>
      </c>
      <c r="B250" s="63" t="s">
        <v>22</v>
      </c>
      <c r="C250" s="64">
        <v>15</v>
      </c>
      <c r="D250" s="64">
        <v>26</v>
      </c>
      <c r="E250" s="65">
        <v>59.86</v>
      </c>
      <c r="F250" s="66">
        <v>33</v>
      </c>
      <c r="G250" s="66">
        <v>1</v>
      </c>
      <c r="H250" s="67">
        <f t="shared" si="5"/>
        <v>54.8</v>
      </c>
      <c r="I250" s="68">
        <v>0</v>
      </c>
      <c r="J250" s="69" t="s">
        <v>10</v>
      </c>
      <c r="K250" s="69">
        <v>496</v>
      </c>
      <c r="L250" s="70" t="str">
        <f>LOOKUP(J250,[1]Survey_Info!A:A,[1]Survey_Info!G:G)</f>
        <v>ACCUM</v>
      </c>
      <c r="M250" s="70">
        <f>LOOKUP(J250,[1]Survey_Info!A:A,[1]Survey_Info!D:D)</f>
        <v>1200</v>
      </c>
      <c r="N250" s="70">
        <f>LOOKUP(J250,[1]Survey_Info!A:A, [1]Survey_Info!J:J)</f>
        <v>180</v>
      </c>
      <c r="O250" s="70">
        <v>0</v>
      </c>
    </row>
    <row r="251" spans="1:15" s="70" customFormat="1" x14ac:dyDescent="0.25">
      <c r="A251" s="62" t="s">
        <v>314</v>
      </c>
      <c r="B251" s="63" t="s">
        <v>22</v>
      </c>
      <c r="C251" s="64">
        <v>15</v>
      </c>
      <c r="D251" s="64">
        <v>26</v>
      </c>
      <c r="E251" s="65">
        <v>59.86</v>
      </c>
      <c r="F251" s="66">
        <v>33</v>
      </c>
      <c r="G251" s="66">
        <v>2</v>
      </c>
      <c r="H251" s="67">
        <f t="shared" si="5"/>
        <v>4.7999999999999972</v>
      </c>
      <c r="I251" s="68">
        <v>0</v>
      </c>
      <c r="J251" s="69" t="s">
        <v>10</v>
      </c>
      <c r="K251" s="69">
        <v>498</v>
      </c>
      <c r="L251" s="70" t="str">
        <f>LOOKUP(J251,[1]Survey_Info!A:A,[1]Survey_Info!G:G)</f>
        <v>ACCUM</v>
      </c>
      <c r="M251" s="70">
        <f>LOOKUP(J251,[1]Survey_Info!A:A,[1]Survey_Info!D:D)</f>
        <v>1200</v>
      </c>
      <c r="N251" s="70">
        <f>LOOKUP(J251,[1]Survey_Info!A:A, [1]Survey_Info!J:J)</f>
        <v>180</v>
      </c>
      <c r="O251" s="70">
        <v>0</v>
      </c>
    </row>
    <row r="252" spans="1:15" s="70" customFormat="1" x14ac:dyDescent="0.25">
      <c r="A252" s="62" t="s">
        <v>315</v>
      </c>
      <c r="B252" s="63" t="s">
        <v>22</v>
      </c>
      <c r="C252" s="64">
        <v>15</v>
      </c>
      <c r="D252" s="64">
        <v>26</v>
      </c>
      <c r="E252" s="65">
        <v>59.86</v>
      </c>
      <c r="F252" s="66">
        <v>33</v>
      </c>
      <c r="G252" s="66">
        <v>2</v>
      </c>
      <c r="H252" s="67">
        <f t="shared" si="5"/>
        <v>14.799999999999997</v>
      </c>
      <c r="I252" s="68">
        <v>0</v>
      </c>
      <c r="J252" s="69" t="s">
        <v>10</v>
      </c>
      <c r="K252" s="69">
        <v>500</v>
      </c>
      <c r="L252" s="70" t="str">
        <f>LOOKUP(J252,[1]Survey_Info!A:A,[1]Survey_Info!G:G)</f>
        <v>ACCUM</v>
      </c>
      <c r="M252" s="70">
        <f>LOOKUP(J252,[1]Survey_Info!A:A,[1]Survey_Info!D:D)</f>
        <v>1200</v>
      </c>
      <c r="N252" s="70">
        <f>LOOKUP(J252,[1]Survey_Info!A:A, [1]Survey_Info!J:J)</f>
        <v>180</v>
      </c>
      <c r="O252" s="70">
        <v>0</v>
      </c>
    </row>
    <row r="253" spans="1:15" s="70" customFormat="1" x14ac:dyDescent="0.25">
      <c r="A253" s="62" t="s">
        <v>316</v>
      </c>
      <c r="B253" s="63" t="s">
        <v>22</v>
      </c>
      <c r="C253" s="64">
        <v>15</v>
      </c>
      <c r="D253" s="64">
        <v>26</v>
      </c>
      <c r="E253" s="65">
        <v>59.86</v>
      </c>
      <c r="F253" s="66">
        <v>33</v>
      </c>
      <c r="G253" s="66">
        <v>2</v>
      </c>
      <c r="H253" s="67">
        <f t="shared" si="5"/>
        <v>24.799999999999997</v>
      </c>
      <c r="I253" s="68">
        <v>0</v>
      </c>
      <c r="J253" s="69" t="s">
        <v>10</v>
      </c>
      <c r="K253" s="69">
        <v>502</v>
      </c>
      <c r="L253" s="70" t="str">
        <f>LOOKUP(J253,[1]Survey_Info!A:A,[1]Survey_Info!G:G)</f>
        <v>ACCUM</v>
      </c>
      <c r="M253" s="70">
        <f>LOOKUP(J253,[1]Survey_Info!A:A,[1]Survey_Info!D:D)</f>
        <v>1200</v>
      </c>
      <c r="N253" s="70">
        <f>LOOKUP(J253,[1]Survey_Info!A:A, [1]Survey_Info!J:J)</f>
        <v>180</v>
      </c>
      <c r="O253" s="70">
        <v>0</v>
      </c>
    </row>
    <row r="254" spans="1:15" s="70" customFormat="1" x14ac:dyDescent="0.25">
      <c r="A254" s="62" t="s">
        <v>317</v>
      </c>
      <c r="B254" s="63" t="s">
        <v>22</v>
      </c>
      <c r="C254" s="64">
        <v>15</v>
      </c>
      <c r="D254" s="64">
        <v>26</v>
      </c>
      <c r="E254" s="65">
        <v>59.86</v>
      </c>
      <c r="F254" s="66">
        <v>33</v>
      </c>
      <c r="G254" s="66">
        <v>2</v>
      </c>
      <c r="H254" s="67">
        <f t="shared" si="5"/>
        <v>34.799999999999997</v>
      </c>
      <c r="I254" s="68">
        <v>0</v>
      </c>
      <c r="J254" s="69" t="s">
        <v>10</v>
      </c>
      <c r="K254" s="69">
        <v>504</v>
      </c>
      <c r="L254" s="70" t="str">
        <f>LOOKUP(J254,[1]Survey_Info!A:A,[1]Survey_Info!G:G)</f>
        <v>ACCUM</v>
      </c>
      <c r="M254" s="70">
        <f>LOOKUP(J254,[1]Survey_Info!A:A,[1]Survey_Info!D:D)</f>
        <v>1200</v>
      </c>
      <c r="N254" s="70">
        <f>LOOKUP(J254,[1]Survey_Info!A:A, [1]Survey_Info!J:J)</f>
        <v>180</v>
      </c>
      <c r="O254" s="70">
        <v>0</v>
      </c>
    </row>
    <row r="255" spans="1:15" s="70" customFormat="1" x14ac:dyDescent="0.25">
      <c r="A255" s="62" t="s">
        <v>318</v>
      </c>
      <c r="B255" s="63" t="s">
        <v>22</v>
      </c>
      <c r="C255" s="64">
        <v>15</v>
      </c>
      <c r="D255" s="64">
        <v>26</v>
      </c>
      <c r="E255" s="65">
        <v>59.86</v>
      </c>
      <c r="F255" s="66">
        <v>33</v>
      </c>
      <c r="G255" s="66">
        <v>2</v>
      </c>
      <c r="H255" s="67">
        <f t="shared" si="5"/>
        <v>44.8</v>
      </c>
      <c r="I255" s="68">
        <v>0</v>
      </c>
      <c r="J255" s="69" t="s">
        <v>10</v>
      </c>
      <c r="K255" s="69">
        <v>506</v>
      </c>
      <c r="L255" s="70" t="str">
        <f>LOOKUP(J255,[1]Survey_Info!A:A,[1]Survey_Info!G:G)</f>
        <v>ACCUM</v>
      </c>
      <c r="M255" s="70">
        <f>LOOKUP(J255,[1]Survey_Info!A:A,[1]Survey_Info!D:D)</f>
        <v>1200</v>
      </c>
      <c r="N255" s="70">
        <f>LOOKUP(J255,[1]Survey_Info!A:A, [1]Survey_Info!J:J)</f>
        <v>180</v>
      </c>
      <c r="O255" s="70">
        <v>0</v>
      </c>
    </row>
    <row r="256" spans="1:15" s="70" customFormat="1" x14ac:dyDescent="0.25">
      <c r="A256" s="62" t="s">
        <v>319</v>
      </c>
      <c r="B256" s="63" t="s">
        <v>22</v>
      </c>
      <c r="C256" s="64">
        <v>15</v>
      </c>
      <c r="D256" s="64">
        <v>26</v>
      </c>
      <c r="E256" s="65">
        <v>59.86</v>
      </c>
      <c r="F256" s="66">
        <v>33</v>
      </c>
      <c r="G256" s="66">
        <v>2</v>
      </c>
      <c r="H256" s="67">
        <f t="shared" si="5"/>
        <v>54.8</v>
      </c>
      <c r="I256" s="68">
        <v>0</v>
      </c>
      <c r="J256" s="69" t="s">
        <v>10</v>
      </c>
      <c r="K256" s="69">
        <v>508</v>
      </c>
      <c r="L256" s="70" t="str">
        <f>LOOKUP(J256,[1]Survey_Info!A:A,[1]Survey_Info!G:G)</f>
        <v>ACCUM</v>
      </c>
      <c r="M256" s="70">
        <f>LOOKUP(J256,[1]Survey_Info!A:A,[1]Survey_Info!D:D)</f>
        <v>1200</v>
      </c>
      <c r="N256" s="70">
        <f>LOOKUP(J256,[1]Survey_Info!A:A, [1]Survey_Info!J:J)</f>
        <v>180</v>
      </c>
      <c r="O256" s="70">
        <v>0</v>
      </c>
    </row>
    <row r="257" spans="1:15" s="70" customFormat="1" x14ac:dyDescent="0.25">
      <c r="A257" s="62" t="s">
        <v>320</v>
      </c>
      <c r="B257" s="63" t="s">
        <v>22</v>
      </c>
      <c r="C257" s="64">
        <v>15</v>
      </c>
      <c r="D257" s="64">
        <v>26</v>
      </c>
      <c r="E257" s="65">
        <v>59.86</v>
      </c>
      <c r="F257" s="66">
        <v>33</v>
      </c>
      <c r="G257" s="66">
        <v>3</v>
      </c>
      <c r="H257" s="67">
        <f t="shared" si="5"/>
        <v>4.7999999999999972</v>
      </c>
      <c r="I257" s="68">
        <v>0</v>
      </c>
      <c r="J257" s="69" t="s">
        <v>10</v>
      </c>
      <c r="K257" s="69">
        <v>510</v>
      </c>
      <c r="L257" s="70" t="str">
        <f>LOOKUP(J257,[1]Survey_Info!A:A,[1]Survey_Info!G:G)</f>
        <v>ACCUM</v>
      </c>
      <c r="M257" s="70">
        <f>LOOKUP(J257,[1]Survey_Info!A:A,[1]Survey_Info!D:D)</f>
        <v>1200</v>
      </c>
      <c r="N257" s="70">
        <f>LOOKUP(J257,[1]Survey_Info!A:A, [1]Survey_Info!J:J)</f>
        <v>180</v>
      </c>
      <c r="O257" s="70">
        <v>0</v>
      </c>
    </row>
    <row r="258" spans="1:15" s="70" customFormat="1" x14ac:dyDescent="0.25">
      <c r="A258" s="62" t="s">
        <v>321</v>
      </c>
      <c r="B258" s="63" t="s">
        <v>22</v>
      </c>
      <c r="C258" s="64">
        <v>15</v>
      </c>
      <c r="D258" s="64">
        <v>26</v>
      </c>
      <c r="E258" s="65">
        <v>59.86</v>
      </c>
      <c r="F258" s="66">
        <v>33</v>
      </c>
      <c r="G258" s="66">
        <v>4</v>
      </c>
      <c r="H258" s="67">
        <f t="shared" si="5"/>
        <v>14.799999999999997</v>
      </c>
      <c r="I258" s="68">
        <v>0</v>
      </c>
      <c r="J258" s="69" t="s">
        <v>10</v>
      </c>
      <c r="K258" s="69">
        <v>512</v>
      </c>
      <c r="L258" s="70" t="str">
        <f>LOOKUP(J258,[1]Survey_Info!A:A,[1]Survey_Info!G:G)</f>
        <v>ACCUM</v>
      </c>
      <c r="M258" s="70">
        <f>LOOKUP(J258,[1]Survey_Info!A:A,[1]Survey_Info!D:D)</f>
        <v>1200</v>
      </c>
      <c r="N258" s="70">
        <f>LOOKUP(J258,[1]Survey_Info!A:A, [1]Survey_Info!J:J)</f>
        <v>180</v>
      </c>
      <c r="O258" s="70">
        <v>0</v>
      </c>
    </row>
    <row r="259" spans="1:15" s="70" customFormat="1" x14ac:dyDescent="0.25">
      <c r="A259" s="62" t="s">
        <v>322</v>
      </c>
      <c r="B259" s="63" t="s">
        <v>22</v>
      </c>
      <c r="C259" s="64">
        <v>15</v>
      </c>
      <c r="D259" s="64">
        <v>26</v>
      </c>
      <c r="E259" s="65">
        <v>59.86</v>
      </c>
      <c r="F259" s="66">
        <v>33</v>
      </c>
      <c r="G259" s="66">
        <v>4</v>
      </c>
      <c r="H259" s="67">
        <f t="shared" si="5"/>
        <v>24.799999999999997</v>
      </c>
      <c r="I259" s="68">
        <v>0</v>
      </c>
      <c r="J259" s="69" t="s">
        <v>10</v>
      </c>
      <c r="K259" s="69">
        <v>514</v>
      </c>
      <c r="L259" s="70" t="str">
        <f>LOOKUP(J259,[1]Survey_Info!A:A,[1]Survey_Info!G:G)</f>
        <v>ACCUM</v>
      </c>
      <c r="M259" s="70">
        <f>LOOKUP(J259,[1]Survey_Info!A:A,[1]Survey_Info!D:D)</f>
        <v>1200</v>
      </c>
      <c r="N259" s="70">
        <f>LOOKUP(J259,[1]Survey_Info!A:A, [1]Survey_Info!J:J)</f>
        <v>180</v>
      </c>
      <c r="O259" s="70">
        <v>0</v>
      </c>
    </row>
    <row r="260" spans="1:15" s="70" customFormat="1" x14ac:dyDescent="0.25">
      <c r="A260" s="62" t="s">
        <v>323</v>
      </c>
      <c r="B260" s="63" t="s">
        <v>22</v>
      </c>
      <c r="C260" s="64">
        <v>15</v>
      </c>
      <c r="D260" s="64">
        <v>26</v>
      </c>
      <c r="E260" s="65">
        <v>59.86</v>
      </c>
      <c r="F260" s="66">
        <v>33</v>
      </c>
      <c r="G260" s="66">
        <v>4</v>
      </c>
      <c r="H260" s="67">
        <f t="shared" si="5"/>
        <v>34.799999999999997</v>
      </c>
      <c r="I260" s="68">
        <v>0</v>
      </c>
      <c r="J260" s="69" t="s">
        <v>10</v>
      </c>
      <c r="K260" s="69">
        <v>516</v>
      </c>
      <c r="L260" s="70" t="str">
        <f>LOOKUP(J260,[1]Survey_Info!A:A,[1]Survey_Info!G:G)</f>
        <v>ACCUM</v>
      </c>
      <c r="M260" s="70">
        <f>LOOKUP(J260,[1]Survey_Info!A:A,[1]Survey_Info!D:D)</f>
        <v>1200</v>
      </c>
      <c r="N260" s="70">
        <f>LOOKUP(J260,[1]Survey_Info!A:A, [1]Survey_Info!J:J)</f>
        <v>180</v>
      </c>
      <c r="O260" s="70">
        <v>0</v>
      </c>
    </row>
    <row r="261" spans="1:15" s="70" customFormat="1" x14ac:dyDescent="0.25">
      <c r="A261" s="62" t="s">
        <v>324</v>
      </c>
      <c r="B261" s="63" t="s">
        <v>22</v>
      </c>
      <c r="C261" s="64">
        <v>15</v>
      </c>
      <c r="D261" s="64">
        <v>26</v>
      </c>
      <c r="E261" s="65">
        <v>59.86</v>
      </c>
      <c r="F261" s="66">
        <v>33</v>
      </c>
      <c r="G261" s="66">
        <v>4</v>
      </c>
      <c r="H261" s="67">
        <f t="shared" si="5"/>
        <v>44.8</v>
      </c>
      <c r="I261" s="68">
        <v>0</v>
      </c>
      <c r="J261" s="69" t="s">
        <v>10</v>
      </c>
      <c r="K261" s="69">
        <v>518</v>
      </c>
      <c r="L261" s="70" t="str">
        <f>LOOKUP(J261,[1]Survey_Info!A:A,[1]Survey_Info!G:G)</f>
        <v>ACCUM</v>
      </c>
      <c r="M261" s="70">
        <f>LOOKUP(J261,[1]Survey_Info!A:A,[1]Survey_Info!D:D)</f>
        <v>1200</v>
      </c>
      <c r="N261" s="70">
        <f>LOOKUP(J261,[1]Survey_Info!A:A, [1]Survey_Info!J:J)</f>
        <v>180</v>
      </c>
      <c r="O261" s="70">
        <v>0</v>
      </c>
    </row>
    <row r="262" spans="1:15" s="70" customFormat="1" x14ac:dyDescent="0.25">
      <c r="A262" s="62" t="s">
        <v>325</v>
      </c>
      <c r="B262" s="63" t="s">
        <v>22</v>
      </c>
      <c r="C262" s="64">
        <v>15</v>
      </c>
      <c r="D262" s="64">
        <v>26</v>
      </c>
      <c r="E262" s="65">
        <v>59.86</v>
      </c>
      <c r="F262" s="66">
        <v>33</v>
      </c>
      <c r="G262" s="66">
        <v>4</v>
      </c>
      <c r="H262" s="67">
        <f t="shared" si="5"/>
        <v>54.8</v>
      </c>
      <c r="I262" s="68">
        <v>0</v>
      </c>
      <c r="J262" s="69" t="s">
        <v>10</v>
      </c>
      <c r="K262" s="69">
        <v>520</v>
      </c>
      <c r="L262" s="70" t="str">
        <f>LOOKUP(J262,[1]Survey_Info!A:A,[1]Survey_Info!G:G)</f>
        <v>ACCUM</v>
      </c>
      <c r="M262" s="70">
        <f>LOOKUP(J262,[1]Survey_Info!A:A,[1]Survey_Info!D:D)</f>
        <v>1200</v>
      </c>
      <c r="N262" s="70">
        <f>LOOKUP(J262,[1]Survey_Info!A:A, [1]Survey_Info!J:J)</f>
        <v>180</v>
      </c>
      <c r="O262" s="70">
        <v>0</v>
      </c>
    </row>
    <row r="263" spans="1:15" s="70" customFormat="1" x14ac:dyDescent="0.25">
      <c r="A263" s="62" t="s">
        <v>326</v>
      </c>
      <c r="B263" s="63" t="s">
        <v>22</v>
      </c>
      <c r="C263" s="64">
        <v>15</v>
      </c>
      <c r="D263" s="64">
        <v>26</v>
      </c>
      <c r="E263" s="65">
        <v>59.86</v>
      </c>
      <c r="F263" s="66">
        <v>33</v>
      </c>
      <c r="G263" s="66">
        <v>5</v>
      </c>
      <c r="H263" s="67">
        <f t="shared" si="5"/>
        <v>4.7999999999999972</v>
      </c>
      <c r="I263" s="68">
        <v>0</v>
      </c>
      <c r="J263" s="69" t="s">
        <v>10</v>
      </c>
      <c r="K263" s="69">
        <v>522</v>
      </c>
      <c r="L263" s="70" t="str">
        <f>LOOKUP(J263,[1]Survey_Info!A:A,[1]Survey_Info!G:G)</f>
        <v>ACCUM</v>
      </c>
      <c r="M263" s="70">
        <f>LOOKUP(J263,[1]Survey_Info!A:A,[1]Survey_Info!D:D)</f>
        <v>1200</v>
      </c>
      <c r="N263" s="70">
        <f>LOOKUP(J263,[1]Survey_Info!A:A, [1]Survey_Info!J:J)</f>
        <v>180</v>
      </c>
      <c r="O263" s="70">
        <v>0</v>
      </c>
    </row>
    <row r="264" spans="1:15" s="70" customFormat="1" x14ac:dyDescent="0.25">
      <c r="A264" s="62" t="s">
        <v>327</v>
      </c>
      <c r="B264" s="63" t="s">
        <v>22</v>
      </c>
      <c r="C264" s="64">
        <v>15</v>
      </c>
      <c r="D264" s="64">
        <v>26</v>
      </c>
      <c r="E264" s="65">
        <v>59.86</v>
      </c>
      <c r="F264" s="66">
        <v>33</v>
      </c>
      <c r="G264" s="66">
        <v>5</v>
      </c>
      <c r="H264" s="67">
        <f t="shared" si="5"/>
        <v>14.799999999999997</v>
      </c>
      <c r="I264" s="68">
        <v>0</v>
      </c>
      <c r="J264" s="69" t="s">
        <v>10</v>
      </c>
      <c r="K264" s="69">
        <v>524</v>
      </c>
      <c r="L264" s="70" t="str">
        <f>LOOKUP(J264,[1]Survey_Info!A:A,[1]Survey_Info!G:G)</f>
        <v>ACCUM</v>
      </c>
      <c r="M264" s="70">
        <f>LOOKUP(J264,[1]Survey_Info!A:A,[1]Survey_Info!D:D)</f>
        <v>1200</v>
      </c>
      <c r="N264" s="70">
        <f>LOOKUP(J264,[1]Survey_Info!A:A, [1]Survey_Info!J:J)</f>
        <v>180</v>
      </c>
      <c r="O264" s="70">
        <v>0</v>
      </c>
    </row>
    <row r="265" spans="1:15" s="70" customFormat="1" x14ac:dyDescent="0.25">
      <c r="A265" s="62" t="s">
        <v>328</v>
      </c>
      <c r="B265" s="63" t="s">
        <v>22</v>
      </c>
      <c r="C265" s="64">
        <v>15</v>
      </c>
      <c r="D265" s="64">
        <v>26</v>
      </c>
      <c r="E265" s="65">
        <v>59.86</v>
      </c>
      <c r="F265" s="66">
        <v>33</v>
      </c>
      <c r="G265" s="66">
        <v>5</v>
      </c>
      <c r="H265" s="67">
        <f t="shared" si="5"/>
        <v>24.799999999999997</v>
      </c>
      <c r="I265" s="68">
        <v>0</v>
      </c>
      <c r="J265" s="69" t="s">
        <v>10</v>
      </c>
      <c r="K265" s="69">
        <v>526</v>
      </c>
      <c r="L265" s="70" t="str">
        <f>LOOKUP(J265,[1]Survey_Info!A:A,[1]Survey_Info!G:G)</f>
        <v>ACCUM</v>
      </c>
      <c r="M265" s="70">
        <f>LOOKUP(J265,[1]Survey_Info!A:A,[1]Survey_Info!D:D)</f>
        <v>1200</v>
      </c>
      <c r="N265" s="70">
        <f>LOOKUP(J265,[1]Survey_Info!A:A, [1]Survey_Info!J:J)</f>
        <v>180</v>
      </c>
      <c r="O265" s="70">
        <v>0</v>
      </c>
    </row>
    <row r="266" spans="1:15" s="70" customFormat="1" x14ac:dyDescent="0.25">
      <c r="A266" s="62" t="s">
        <v>329</v>
      </c>
      <c r="B266" s="63" t="s">
        <v>22</v>
      </c>
      <c r="C266" s="64">
        <v>15</v>
      </c>
      <c r="D266" s="64">
        <v>26</v>
      </c>
      <c r="E266" s="65">
        <v>59.86</v>
      </c>
      <c r="F266" s="66">
        <v>33</v>
      </c>
      <c r="G266" s="66">
        <v>5</v>
      </c>
      <c r="H266" s="67">
        <f t="shared" si="5"/>
        <v>34.799999999999997</v>
      </c>
      <c r="I266" s="68">
        <v>0</v>
      </c>
      <c r="J266" s="69" t="s">
        <v>10</v>
      </c>
      <c r="K266" s="69">
        <v>528</v>
      </c>
      <c r="L266" s="70" t="str">
        <f>LOOKUP(J266,[1]Survey_Info!A:A,[1]Survey_Info!G:G)</f>
        <v>ACCUM</v>
      </c>
      <c r="M266" s="70">
        <f>LOOKUP(J266,[1]Survey_Info!A:A,[1]Survey_Info!D:D)</f>
        <v>1200</v>
      </c>
      <c r="N266" s="70">
        <f>LOOKUP(J266,[1]Survey_Info!A:A, [1]Survey_Info!J:J)</f>
        <v>180</v>
      </c>
      <c r="O266" s="70">
        <v>0</v>
      </c>
    </row>
    <row r="267" spans="1:15" s="70" customFormat="1" x14ac:dyDescent="0.25">
      <c r="A267" s="62" t="s">
        <v>330</v>
      </c>
      <c r="B267" s="63" t="s">
        <v>22</v>
      </c>
      <c r="C267" s="64">
        <v>15</v>
      </c>
      <c r="D267" s="64">
        <v>26</v>
      </c>
      <c r="E267" s="65">
        <v>59.86</v>
      </c>
      <c r="F267" s="66">
        <v>33</v>
      </c>
      <c r="G267" s="66">
        <v>5</v>
      </c>
      <c r="H267" s="67">
        <f t="shared" si="5"/>
        <v>44.8</v>
      </c>
      <c r="I267" s="68">
        <v>0</v>
      </c>
      <c r="J267" s="69" t="s">
        <v>10</v>
      </c>
      <c r="K267" s="69">
        <v>530</v>
      </c>
      <c r="L267" s="70" t="str">
        <f>LOOKUP(J267,[1]Survey_Info!A:A,[1]Survey_Info!G:G)</f>
        <v>ACCUM</v>
      </c>
      <c r="M267" s="70">
        <f>LOOKUP(J267,[1]Survey_Info!A:A,[1]Survey_Info!D:D)</f>
        <v>1200</v>
      </c>
      <c r="N267" s="70">
        <f>LOOKUP(J267,[1]Survey_Info!A:A, [1]Survey_Info!J:J)</f>
        <v>180</v>
      </c>
      <c r="O267" s="70">
        <v>0</v>
      </c>
    </row>
    <row r="268" spans="1:15" s="70" customFormat="1" x14ac:dyDescent="0.25">
      <c r="A268" s="62" t="s">
        <v>331</v>
      </c>
      <c r="B268" s="63" t="s">
        <v>22</v>
      </c>
      <c r="C268" s="64">
        <v>15</v>
      </c>
      <c r="D268" s="64">
        <v>26</v>
      </c>
      <c r="E268" s="65">
        <v>59.86</v>
      </c>
      <c r="F268" s="66">
        <v>33</v>
      </c>
      <c r="G268" s="66">
        <v>5</v>
      </c>
      <c r="H268" s="67">
        <f t="shared" si="5"/>
        <v>54.8</v>
      </c>
      <c r="I268" s="68">
        <v>0</v>
      </c>
      <c r="J268" s="69" t="s">
        <v>10</v>
      </c>
      <c r="K268" s="69">
        <v>532</v>
      </c>
      <c r="L268" s="70" t="str">
        <f>LOOKUP(J268,[1]Survey_Info!A:A,[1]Survey_Info!G:G)</f>
        <v>ACCUM</v>
      </c>
      <c r="M268" s="70">
        <f>LOOKUP(J268,[1]Survey_Info!A:A,[1]Survey_Info!D:D)</f>
        <v>1200</v>
      </c>
      <c r="N268" s="70">
        <f>LOOKUP(J268,[1]Survey_Info!A:A, [1]Survey_Info!J:J)</f>
        <v>180</v>
      </c>
      <c r="O268" s="70">
        <v>0</v>
      </c>
    </row>
    <row r="269" spans="1:15" s="70" customFormat="1" x14ac:dyDescent="0.25">
      <c r="A269" s="62" t="s">
        <v>332</v>
      </c>
      <c r="B269" s="63" t="s">
        <v>22</v>
      </c>
      <c r="C269" s="64">
        <v>15</v>
      </c>
      <c r="D269" s="64">
        <v>26</v>
      </c>
      <c r="E269" s="65">
        <v>59.86</v>
      </c>
      <c r="F269" s="66">
        <v>33</v>
      </c>
      <c r="G269" s="66">
        <v>6</v>
      </c>
      <c r="H269" s="67">
        <f t="shared" si="5"/>
        <v>4.7999999999999972</v>
      </c>
      <c r="I269" s="68">
        <v>0</v>
      </c>
      <c r="J269" s="69" t="s">
        <v>10</v>
      </c>
      <c r="K269" s="69">
        <v>534</v>
      </c>
      <c r="L269" s="70" t="str">
        <f>LOOKUP(J269,[1]Survey_Info!A:A,[1]Survey_Info!G:G)</f>
        <v>ACCUM</v>
      </c>
      <c r="M269" s="70">
        <f>LOOKUP(J269,[1]Survey_Info!A:A,[1]Survey_Info!D:D)</f>
        <v>1200</v>
      </c>
      <c r="N269" s="70">
        <f>LOOKUP(J269,[1]Survey_Info!A:A, [1]Survey_Info!J:J)</f>
        <v>180</v>
      </c>
      <c r="O269" s="70">
        <v>0</v>
      </c>
    </row>
    <row r="270" spans="1:15" s="70" customFormat="1" x14ac:dyDescent="0.25">
      <c r="A270" s="62" t="s">
        <v>333</v>
      </c>
      <c r="B270" s="63" t="s">
        <v>22</v>
      </c>
      <c r="C270" s="64">
        <v>15</v>
      </c>
      <c r="D270" s="64">
        <v>26</v>
      </c>
      <c r="E270" s="65">
        <v>59.86</v>
      </c>
      <c r="F270" s="66">
        <v>33</v>
      </c>
      <c r="G270" s="66">
        <v>6</v>
      </c>
      <c r="H270" s="67">
        <f t="shared" si="5"/>
        <v>14.799999999999997</v>
      </c>
      <c r="I270" s="68">
        <v>0</v>
      </c>
      <c r="J270" s="69" t="s">
        <v>10</v>
      </c>
      <c r="K270" s="69">
        <v>536</v>
      </c>
      <c r="L270" s="70" t="str">
        <f>LOOKUP(J270,[1]Survey_Info!A:A,[1]Survey_Info!G:G)</f>
        <v>ACCUM</v>
      </c>
      <c r="M270" s="70">
        <f>LOOKUP(J270,[1]Survey_Info!A:A,[1]Survey_Info!D:D)</f>
        <v>1200</v>
      </c>
      <c r="N270" s="70">
        <f>LOOKUP(J270,[1]Survey_Info!A:A, [1]Survey_Info!J:J)</f>
        <v>180</v>
      </c>
      <c r="O270" s="70">
        <v>0</v>
      </c>
    </row>
    <row r="271" spans="1:15" s="70" customFormat="1" x14ac:dyDescent="0.25">
      <c r="A271" s="62" t="s">
        <v>334</v>
      </c>
      <c r="B271" s="63" t="s">
        <v>22</v>
      </c>
      <c r="C271" s="64">
        <v>15</v>
      </c>
      <c r="D271" s="64">
        <v>26</v>
      </c>
      <c r="E271" s="65">
        <v>59.86</v>
      </c>
      <c r="F271" s="66">
        <v>33</v>
      </c>
      <c r="G271" s="66">
        <v>6</v>
      </c>
      <c r="H271" s="67">
        <f t="shared" si="5"/>
        <v>24.799999999999997</v>
      </c>
      <c r="I271" s="68">
        <v>0</v>
      </c>
      <c r="J271" s="69" t="s">
        <v>10</v>
      </c>
      <c r="K271" s="69">
        <v>538</v>
      </c>
      <c r="L271" s="70" t="str">
        <f>LOOKUP(J271,[1]Survey_Info!A:A,[1]Survey_Info!G:G)</f>
        <v>ACCUM</v>
      </c>
      <c r="M271" s="70">
        <f>LOOKUP(J271,[1]Survey_Info!A:A,[1]Survey_Info!D:D)</f>
        <v>1200</v>
      </c>
      <c r="N271" s="70">
        <f>LOOKUP(J271,[1]Survey_Info!A:A, [1]Survey_Info!J:J)</f>
        <v>180</v>
      </c>
      <c r="O271" s="70">
        <v>0</v>
      </c>
    </row>
  </sheetData>
  <phoneticPr fontId="3" type="noConversion"/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error="Survey must match a survey name from the SurveyInfo tab" promptTitle="Must use valid Survey name" xr:uid="{64FD8B16-416F-0E4A-9EAE-55C74499986D}">
          <x14:formula1>
            <xm:f>Survey_Info!$A2:$A100</xm:f>
          </x14:formula1>
          <xm:sqref>J472:J1048576 J1</xm:sqref>
        </x14:dataValidation>
        <x14:dataValidation type="list" allowBlank="1" showInputMessage="1" showErrorMessage="1" error="Survey must match a survey name from the SurveyInfo tab" promptTitle="Must use valid Survey name" xr:uid="{A8A8B374-3B6B-1E4F-9D8E-24273F346572}">
          <x14:formula1>
            <xm:f>Survey_Info!$A546:$A644</xm:f>
          </x14:formula1>
          <xm:sqref>J285:J288 J272:J282 J379:J381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0DEE5-6A29-5544-BFDC-8A7E626650E2}">
  <dimension ref="A1:J6"/>
  <sheetViews>
    <sheetView tabSelected="1" topLeftCell="D1" zoomScale="120" zoomScaleNormal="120" workbookViewId="0">
      <pane ySplit="1" topLeftCell="A2" activePane="bottomLeft" state="frozen"/>
      <selection pane="bottomLeft" activeCell="J5" sqref="J5"/>
    </sheetView>
  </sheetViews>
  <sheetFormatPr baseColWidth="10" defaultColWidth="10.83203125" defaultRowHeight="19" x14ac:dyDescent="0.25"/>
  <cols>
    <col min="1" max="1" width="31" style="1" bestFit="1" customWidth="1"/>
    <col min="2" max="2" width="10.5" style="1" bestFit="1" customWidth="1"/>
    <col min="3" max="3" width="21.5" style="1" bestFit="1" customWidth="1"/>
    <col min="4" max="4" width="25.83203125" style="1" bestFit="1" customWidth="1"/>
    <col min="5" max="5" width="23.6640625" style="1" bestFit="1" customWidth="1"/>
    <col min="6" max="6" width="15.1640625" style="1" bestFit="1" customWidth="1"/>
    <col min="7" max="7" width="11.1640625" style="1" bestFit="1" customWidth="1"/>
    <col min="8" max="8" width="16.33203125" style="1" bestFit="1" customWidth="1"/>
    <col min="9" max="9" width="15.33203125" style="1" bestFit="1" customWidth="1"/>
    <col min="10" max="10" width="23" style="1" bestFit="1" customWidth="1"/>
    <col min="11" max="16384" width="10.83203125" style="1"/>
  </cols>
  <sheetData>
    <row r="1" spans="1:10" s="2" customFormat="1" x14ac:dyDescent="0.25">
      <c r="A1" s="3" t="s">
        <v>0</v>
      </c>
      <c r="B1" s="3" t="s">
        <v>8</v>
      </c>
      <c r="C1" s="3" t="s">
        <v>9</v>
      </c>
      <c r="D1" s="3" t="s">
        <v>12</v>
      </c>
      <c r="E1" s="3" t="s">
        <v>14</v>
      </c>
      <c r="F1" s="3" t="s">
        <v>15</v>
      </c>
      <c r="G1" s="3" t="s">
        <v>13</v>
      </c>
      <c r="H1" s="3" t="s">
        <v>23</v>
      </c>
      <c r="I1" s="3" t="s">
        <v>26</v>
      </c>
      <c r="J1" s="9" t="s">
        <v>38</v>
      </c>
    </row>
    <row r="2" spans="1:10" x14ac:dyDescent="0.25">
      <c r="A2" s="4" t="s">
        <v>6</v>
      </c>
      <c r="B2" s="4">
        <v>50</v>
      </c>
      <c r="C2" s="4">
        <v>1</v>
      </c>
      <c r="D2" s="4">
        <v>100000</v>
      </c>
      <c r="E2" s="4">
        <f>D2*C2</f>
        <v>100000</v>
      </c>
      <c r="F2" s="4">
        <f>E2*B2</f>
        <v>5000000</v>
      </c>
      <c r="G2" s="4" t="s">
        <v>2</v>
      </c>
      <c r="H2" s="4" t="s">
        <v>24</v>
      </c>
      <c r="I2" s="4">
        <v>1</v>
      </c>
      <c r="J2" s="4">
        <v>300</v>
      </c>
    </row>
    <row r="3" spans="1:10" x14ac:dyDescent="0.25">
      <c r="A3" s="4" t="s">
        <v>7</v>
      </c>
      <c r="B3" s="4">
        <v>6</v>
      </c>
      <c r="C3" s="4">
        <v>25</v>
      </c>
      <c r="D3" s="4">
        <v>3000</v>
      </c>
      <c r="E3" s="4">
        <f>D3*C3</f>
        <v>75000</v>
      </c>
      <c r="F3" s="4">
        <f>E3*B3</f>
        <v>450000</v>
      </c>
      <c r="G3" s="4" t="s">
        <v>1</v>
      </c>
      <c r="H3" s="4" t="s">
        <v>24</v>
      </c>
      <c r="I3" s="4">
        <v>3</v>
      </c>
      <c r="J3" s="4">
        <v>300</v>
      </c>
    </row>
    <row r="4" spans="1:10" x14ac:dyDescent="0.25">
      <c r="A4" s="4" t="s">
        <v>10</v>
      </c>
      <c r="B4" s="4">
        <v>3</v>
      </c>
      <c r="C4" s="4">
        <v>1</v>
      </c>
      <c r="D4" s="4">
        <v>1200</v>
      </c>
      <c r="E4" s="4">
        <v>180</v>
      </c>
      <c r="F4" s="4">
        <v>180</v>
      </c>
      <c r="G4" s="4" t="s">
        <v>2</v>
      </c>
      <c r="H4" s="4" t="s">
        <v>25</v>
      </c>
      <c r="I4" s="4">
        <v>1</v>
      </c>
      <c r="J4" s="4">
        <v>180</v>
      </c>
    </row>
    <row r="5" spans="1:10" x14ac:dyDescent="0.25">
      <c r="A5" s="4" t="s">
        <v>11</v>
      </c>
      <c r="B5" s="4">
        <v>3</v>
      </c>
      <c r="C5" s="4">
        <v>1</v>
      </c>
      <c r="D5" s="4">
        <v>1200</v>
      </c>
      <c r="E5" s="4">
        <f>D5*C5</f>
        <v>1200</v>
      </c>
      <c r="F5" s="4">
        <f>E5*B5</f>
        <v>3600</v>
      </c>
      <c r="G5" s="4" t="s">
        <v>2</v>
      </c>
      <c r="H5" s="4" t="s">
        <v>25</v>
      </c>
      <c r="I5" s="4">
        <v>4</v>
      </c>
      <c r="J5" s="4">
        <v>60</v>
      </c>
    </row>
    <row r="6" spans="1:10" x14ac:dyDescent="0.25">
      <c r="A6" s="4" t="s">
        <v>5</v>
      </c>
      <c r="B6" s="4">
        <v>50</v>
      </c>
      <c r="C6" s="4">
        <v>25</v>
      </c>
      <c r="D6" s="4">
        <v>3000</v>
      </c>
      <c r="E6" s="4">
        <f>D6*C6</f>
        <v>75000</v>
      </c>
      <c r="F6" s="4">
        <f>E6*B6</f>
        <v>3750000</v>
      </c>
      <c r="G6" s="4" t="s">
        <v>1</v>
      </c>
      <c r="H6" s="4" t="s">
        <v>24</v>
      </c>
      <c r="I6" s="4">
        <v>2</v>
      </c>
      <c r="J6" s="4">
        <v>300</v>
      </c>
    </row>
  </sheetData>
  <sortState xmlns:xlrd2="http://schemas.microsoft.com/office/spreadsheetml/2017/richdata2" ref="A2:I6">
    <sortCondition ref="A2:A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EB17C-F72F-4854-913C-7FEFF452645F}">
  <dimension ref="A1:G2"/>
  <sheetViews>
    <sheetView workbookViewId="0">
      <pane ySplit="1" topLeftCell="A2" activePane="bottomLeft" state="frozen"/>
      <selection pane="bottomLeft" activeCell="E11" sqref="E11"/>
    </sheetView>
  </sheetViews>
  <sheetFormatPr baseColWidth="10" defaultColWidth="9" defaultRowHeight="19" x14ac:dyDescent="0.25"/>
  <cols>
    <col min="1" max="1" width="17.1640625" style="12" bestFit="1" customWidth="1"/>
    <col min="2" max="2" width="23.1640625" style="12" bestFit="1" customWidth="1"/>
    <col min="3" max="3" width="13.83203125" style="12" bestFit="1" customWidth="1"/>
    <col min="4" max="4" width="13.1640625" style="12" bestFit="1" customWidth="1"/>
    <col min="5" max="5" width="17.33203125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33</v>
      </c>
      <c r="B1" s="9" t="s">
        <v>40</v>
      </c>
      <c r="C1" s="9" t="s">
        <v>35</v>
      </c>
      <c r="D1" s="9" t="s">
        <v>34</v>
      </c>
      <c r="E1" s="9" t="s">
        <v>39</v>
      </c>
      <c r="F1" s="9" t="s">
        <v>36</v>
      </c>
      <c r="G1" s="9" t="s">
        <v>37</v>
      </c>
    </row>
    <row r="2" spans="1:7" x14ac:dyDescent="0.25">
      <c r="A2" s="11">
        <v>400000</v>
      </c>
      <c r="B2" s="11">
        <v>535680</v>
      </c>
      <c r="C2" s="11">
        <v>38.200000000000003</v>
      </c>
      <c r="D2" s="11">
        <f>-32</f>
        <v>-32</v>
      </c>
      <c r="E2" s="11">
        <f>-28.7</f>
        <v>-28.7</v>
      </c>
      <c r="F2" s="11">
        <f>-46.9</f>
        <v>-46.9</v>
      </c>
      <c r="G2" s="11">
        <f>-28.7</f>
        <v>-28.7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110FA-5A4D-454C-B948-8110D890B10D}">
  <dimension ref="A1:G2"/>
  <sheetViews>
    <sheetView workbookViewId="0">
      <selection activeCell="D20" sqref="D20"/>
    </sheetView>
  </sheetViews>
  <sheetFormatPr baseColWidth="10" defaultColWidth="9" defaultRowHeight="19" x14ac:dyDescent="0.25"/>
  <cols>
    <col min="1" max="1" width="29.33203125" style="12" bestFit="1" customWidth="1"/>
    <col min="2" max="2" width="34.33203125" style="12" bestFit="1" customWidth="1"/>
    <col min="3" max="3" width="22.83203125" style="12" bestFit="1" customWidth="1"/>
    <col min="4" max="4" width="20.1640625" style="12" bestFit="1" customWidth="1"/>
    <col min="5" max="5" width="28" style="12" bestFit="1" customWidth="1"/>
    <col min="6" max="6" width="14.33203125" style="12" bestFit="1" customWidth="1"/>
    <col min="7" max="7" width="8.83203125" style="12" bestFit="1" customWidth="1"/>
    <col min="8" max="16384" width="9" style="12"/>
  </cols>
  <sheetData>
    <row r="1" spans="1:7" s="10" customFormat="1" x14ac:dyDescent="0.25">
      <c r="A1" s="9" t="s">
        <v>41</v>
      </c>
      <c r="B1" s="9" t="s">
        <v>42</v>
      </c>
      <c r="C1" s="9" t="s">
        <v>43</v>
      </c>
      <c r="D1" s="9" t="s">
        <v>44</v>
      </c>
      <c r="E1" s="9" t="s">
        <v>45</v>
      </c>
      <c r="F1" s="13"/>
      <c r="G1" s="13"/>
    </row>
    <row r="2" spans="1:7" x14ac:dyDescent="0.25">
      <c r="A2" s="11">
        <v>0</v>
      </c>
      <c r="B2" s="11">
        <v>200</v>
      </c>
      <c r="C2" s="11">
        <v>2</v>
      </c>
      <c r="D2" s="11">
        <v>1</v>
      </c>
      <c r="E2" s="11">
        <v>2.5000000000000001E-2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19B4-3755-45CE-8EA4-F53B71398157}">
  <dimension ref="A1:F3"/>
  <sheetViews>
    <sheetView workbookViewId="0">
      <pane ySplit="1" topLeftCell="A2" activePane="bottomLeft" state="frozen"/>
      <selection pane="bottomLeft" activeCell="C4" sqref="C4"/>
    </sheetView>
  </sheetViews>
  <sheetFormatPr baseColWidth="10" defaultColWidth="23.6640625" defaultRowHeight="19" x14ac:dyDescent="0.25"/>
  <cols>
    <col min="1" max="16384" width="23.6640625" style="12"/>
  </cols>
  <sheetData>
    <row r="1" spans="1:6" s="10" customFormat="1" x14ac:dyDescent="0.25">
      <c r="A1" s="9" t="s">
        <v>54</v>
      </c>
      <c r="B1" s="9" t="s">
        <v>52</v>
      </c>
      <c r="C1" s="9" t="s">
        <v>53</v>
      </c>
      <c r="D1" s="9" t="s">
        <v>55</v>
      </c>
      <c r="E1" s="13" t="s">
        <v>56</v>
      </c>
      <c r="F1" s="13"/>
    </row>
    <row r="2" spans="1:6" x14ac:dyDescent="0.25">
      <c r="A2" s="14" t="s">
        <v>51</v>
      </c>
      <c r="B2" s="14">
        <v>40.015000000000001</v>
      </c>
      <c r="C2" s="14">
        <v>-105.2705</v>
      </c>
      <c r="D2" s="17">
        <v>1655</v>
      </c>
      <c r="E2" s="14">
        <v>15</v>
      </c>
      <c r="F2" s="16"/>
    </row>
    <row r="3" spans="1:6" x14ac:dyDescent="0.25">
      <c r="A3" s="12" t="s">
        <v>62</v>
      </c>
      <c r="B3" s="12">
        <v>28.476061000000001</v>
      </c>
      <c r="C3" s="12">
        <v>-16.307661</v>
      </c>
      <c r="D3" s="12">
        <v>475</v>
      </c>
      <c r="E3" s="12">
        <v>15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729A2-E962-4215-99F7-898E63B790C1}">
  <dimension ref="A1:B101"/>
  <sheetViews>
    <sheetView topLeftCell="A90" workbookViewId="0">
      <selection sqref="A1:B101"/>
    </sheetView>
  </sheetViews>
  <sheetFormatPr baseColWidth="10" defaultColWidth="8.83203125" defaultRowHeight="15" x14ac:dyDescent="0.2"/>
  <sheetData>
    <row r="1" spans="1:2" x14ac:dyDescent="0.2">
      <c r="A1" t="s">
        <v>52</v>
      </c>
      <c r="B1" t="s">
        <v>53</v>
      </c>
    </row>
    <row r="2" spans="1:2" x14ac:dyDescent="0.2">
      <c r="A2">
        <v>-20</v>
      </c>
      <c r="B2" s="18">
        <v>6.5900000000000002E-15</v>
      </c>
    </row>
    <row r="3" spans="1:2" x14ac:dyDescent="0.2">
      <c r="A3">
        <v>-20.959595960000001</v>
      </c>
      <c r="B3">
        <v>2.8787878789999999</v>
      </c>
    </row>
    <row r="4" spans="1:2" x14ac:dyDescent="0.2">
      <c r="A4">
        <v>-21.919191919999999</v>
      </c>
      <c r="B4">
        <v>5.7575757579999998</v>
      </c>
    </row>
    <row r="5" spans="1:2" x14ac:dyDescent="0.2">
      <c r="A5">
        <v>-22.878787880000001</v>
      </c>
      <c r="B5">
        <v>8.6363636360000005</v>
      </c>
    </row>
    <row r="6" spans="1:2" x14ac:dyDescent="0.2">
      <c r="A6">
        <v>-23.838383839999999</v>
      </c>
      <c r="B6">
        <v>11.51515152</v>
      </c>
    </row>
    <row r="7" spans="1:2" x14ac:dyDescent="0.2">
      <c r="A7">
        <v>-24.7979798</v>
      </c>
      <c r="B7">
        <v>14.39393939</v>
      </c>
    </row>
    <row r="8" spans="1:2" x14ac:dyDescent="0.2">
      <c r="A8">
        <v>-25.757575760000002</v>
      </c>
      <c r="B8">
        <v>17.36596737</v>
      </c>
    </row>
    <row r="9" spans="1:2" x14ac:dyDescent="0.2">
      <c r="A9">
        <v>-26.71717172</v>
      </c>
      <c r="B9">
        <v>20.382496289999999</v>
      </c>
    </row>
    <row r="10" spans="1:2" x14ac:dyDescent="0.2">
      <c r="A10">
        <v>-27.676767680000001</v>
      </c>
      <c r="B10">
        <v>23.26811236</v>
      </c>
    </row>
    <row r="11" spans="1:2" x14ac:dyDescent="0.2">
      <c r="A11">
        <v>-28.636363639999999</v>
      </c>
      <c r="B11">
        <v>25.892138159999998</v>
      </c>
    </row>
    <row r="12" spans="1:2" x14ac:dyDescent="0.2">
      <c r="A12">
        <v>-29.5959596</v>
      </c>
      <c r="B12">
        <v>28.168632710000001</v>
      </c>
    </row>
    <row r="13" spans="1:2" x14ac:dyDescent="0.2">
      <c r="A13">
        <v>-30.567422480000001</v>
      </c>
      <c r="B13">
        <v>30.11572602</v>
      </c>
    </row>
    <row r="14" spans="1:2" x14ac:dyDescent="0.2">
      <c r="A14">
        <v>-31.556261920000001</v>
      </c>
      <c r="B14">
        <v>31.76449813</v>
      </c>
    </row>
    <row r="15" spans="1:2" x14ac:dyDescent="0.2">
      <c r="A15">
        <v>-32.525511530000003</v>
      </c>
      <c r="B15">
        <v>32.978385250000002</v>
      </c>
    </row>
    <row r="16" spans="1:2" x14ac:dyDescent="0.2">
      <c r="A16">
        <v>-33.447152170000003</v>
      </c>
      <c r="B16">
        <v>33.71029644</v>
      </c>
    </row>
    <row r="17" spans="1:2" x14ac:dyDescent="0.2">
      <c r="A17">
        <v>-34.302112030000004</v>
      </c>
      <c r="B17">
        <v>34.00261355</v>
      </c>
    </row>
    <row r="18" spans="1:2" x14ac:dyDescent="0.2">
      <c r="A18">
        <v>-35.082809449999999</v>
      </c>
      <c r="B18">
        <v>34.012620380000001</v>
      </c>
    </row>
    <row r="19" spans="1:2" x14ac:dyDescent="0.2">
      <c r="A19">
        <v>-35.798450709999997</v>
      </c>
      <c r="B19">
        <v>33.829789740000002</v>
      </c>
    </row>
    <row r="20" spans="1:2" x14ac:dyDescent="0.2">
      <c r="A20">
        <v>-36.4373808</v>
      </c>
      <c r="B20">
        <v>33.2309105</v>
      </c>
    </row>
    <row r="21" spans="1:2" x14ac:dyDescent="0.2">
      <c r="A21">
        <v>-37.001365640000003</v>
      </c>
      <c r="B21">
        <v>32.150055330000001</v>
      </c>
    </row>
    <row r="22" spans="1:2" x14ac:dyDescent="0.2">
      <c r="A22">
        <v>-37.505592049999997</v>
      </c>
      <c r="B22">
        <v>30.610769699999999</v>
      </c>
    </row>
    <row r="23" spans="1:2" x14ac:dyDescent="0.2">
      <c r="A23">
        <v>-37.978667799999997</v>
      </c>
      <c r="B23">
        <v>28.726071910000002</v>
      </c>
    </row>
    <row r="24" spans="1:2" x14ac:dyDescent="0.2">
      <c r="A24">
        <v>-38.386852210000001</v>
      </c>
      <c r="B24">
        <v>26.548468369999998</v>
      </c>
    </row>
    <row r="25" spans="1:2" x14ac:dyDescent="0.2">
      <c r="A25">
        <v>-38.767417770000002</v>
      </c>
      <c r="B25">
        <v>24.005674460000002</v>
      </c>
    </row>
    <row r="26" spans="1:2" x14ac:dyDescent="0.2">
      <c r="A26">
        <v>-39.175460899999997</v>
      </c>
      <c r="B26">
        <v>21.171858440000001</v>
      </c>
    </row>
    <row r="27" spans="1:2" x14ac:dyDescent="0.2">
      <c r="A27">
        <v>-39.65713075</v>
      </c>
      <c r="B27">
        <v>18.16592498</v>
      </c>
    </row>
    <row r="28" spans="1:2" x14ac:dyDescent="0.2">
      <c r="A28">
        <v>-40.249629159999998</v>
      </c>
      <c r="B28">
        <v>15.15151515</v>
      </c>
    </row>
    <row r="29" spans="1:2" x14ac:dyDescent="0.2">
      <c r="A29">
        <v>-40.939182029999998</v>
      </c>
      <c r="B29">
        <v>12.272727270000001</v>
      </c>
    </row>
    <row r="30" spans="1:2" x14ac:dyDescent="0.2">
      <c r="A30">
        <v>-41.738009470000001</v>
      </c>
      <c r="B30">
        <v>9.3939393940000002</v>
      </c>
    </row>
    <row r="31" spans="1:2" x14ac:dyDescent="0.2">
      <c r="A31">
        <v>-42.677191499999999</v>
      </c>
      <c r="B31">
        <v>6.5151515150000003</v>
      </c>
    </row>
    <row r="32" spans="1:2" x14ac:dyDescent="0.2">
      <c r="A32">
        <v>-43.760966310000001</v>
      </c>
      <c r="B32">
        <v>3.636363636</v>
      </c>
    </row>
    <row r="33" spans="1:2" x14ac:dyDescent="0.2">
      <c r="A33">
        <v>-44.966730239999997</v>
      </c>
      <c r="B33">
        <v>0.75757575799999999</v>
      </c>
    </row>
    <row r="34" spans="1:2" x14ac:dyDescent="0.2">
      <c r="A34">
        <v>-46.253514160000002</v>
      </c>
      <c r="B34">
        <v>-2.1212121210000001</v>
      </c>
    </row>
    <row r="35" spans="1:2" x14ac:dyDescent="0.2">
      <c r="A35">
        <v>-47.657766479999999</v>
      </c>
      <c r="B35">
        <v>-5</v>
      </c>
    </row>
    <row r="36" spans="1:2" x14ac:dyDescent="0.2">
      <c r="A36">
        <v>-49.147653689999999</v>
      </c>
      <c r="B36">
        <v>-7.8787878789999999</v>
      </c>
    </row>
    <row r="37" spans="1:2" x14ac:dyDescent="0.2">
      <c r="A37">
        <v>-50.67985213</v>
      </c>
      <c r="B37">
        <v>-10.75757576</v>
      </c>
    </row>
    <row r="38" spans="1:2" x14ac:dyDescent="0.2">
      <c r="A38">
        <v>-52.202090839999997</v>
      </c>
      <c r="B38">
        <v>-13.636363640000001</v>
      </c>
    </row>
    <row r="39" spans="1:2" x14ac:dyDescent="0.2">
      <c r="A39">
        <v>-53.68875233</v>
      </c>
      <c r="B39">
        <v>-16.51515152</v>
      </c>
    </row>
    <row r="40" spans="1:2" x14ac:dyDescent="0.2">
      <c r="A40">
        <v>-55.192295919999999</v>
      </c>
      <c r="B40">
        <v>-19.39393939</v>
      </c>
    </row>
    <row r="41" spans="1:2" x14ac:dyDescent="0.2">
      <c r="A41">
        <v>-56.598996960000001</v>
      </c>
      <c r="B41">
        <v>-22.272727270000001</v>
      </c>
    </row>
    <row r="42" spans="1:2" x14ac:dyDescent="0.2">
      <c r="A42">
        <v>-57.81820536</v>
      </c>
      <c r="B42">
        <v>-25.151515150000002</v>
      </c>
    </row>
    <row r="43" spans="1:2" x14ac:dyDescent="0.2">
      <c r="A43">
        <v>-58.795060159999998</v>
      </c>
      <c r="B43">
        <v>-28.030303029999999</v>
      </c>
    </row>
    <row r="44" spans="1:2" x14ac:dyDescent="0.2">
      <c r="A44">
        <v>-59.52744225</v>
      </c>
      <c r="B44">
        <v>-30.90909091</v>
      </c>
    </row>
    <row r="45" spans="1:2" x14ac:dyDescent="0.2">
      <c r="A45">
        <v>-60.133549950000003</v>
      </c>
      <c r="B45">
        <v>-33.787878790000001</v>
      </c>
    </row>
    <row r="46" spans="1:2" x14ac:dyDescent="0.2">
      <c r="A46">
        <v>-60.434696619999997</v>
      </c>
      <c r="B46">
        <v>-36.666666669999998</v>
      </c>
    </row>
    <row r="47" spans="1:2" x14ac:dyDescent="0.2">
      <c r="A47">
        <v>-60.335876239999997</v>
      </c>
      <c r="B47">
        <v>-39.545454550000002</v>
      </c>
    </row>
    <row r="48" spans="1:2" x14ac:dyDescent="0.2">
      <c r="A48">
        <v>-59.818134729999997</v>
      </c>
      <c r="B48">
        <v>-42.424242419999999</v>
      </c>
    </row>
    <row r="49" spans="1:2" x14ac:dyDescent="0.2">
      <c r="A49">
        <v>-58.93856985</v>
      </c>
      <c r="B49">
        <v>-45.303030300000003</v>
      </c>
    </row>
    <row r="50" spans="1:2" x14ac:dyDescent="0.2">
      <c r="A50">
        <v>-57.74034047</v>
      </c>
      <c r="B50">
        <v>-48.18181818</v>
      </c>
    </row>
    <row r="51" spans="1:2" x14ac:dyDescent="0.2">
      <c r="A51">
        <v>-56.173388899999999</v>
      </c>
      <c r="B51">
        <v>-51.060606059999998</v>
      </c>
    </row>
    <row r="52" spans="1:2" x14ac:dyDescent="0.2">
      <c r="A52">
        <v>-54.30952885</v>
      </c>
      <c r="B52">
        <v>-53.939393940000002</v>
      </c>
    </row>
    <row r="53" spans="1:2" x14ac:dyDescent="0.2">
      <c r="A53">
        <v>-52.265310450000001</v>
      </c>
      <c r="B53">
        <v>-56.81818182</v>
      </c>
    </row>
    <row r="54" spans="1:2" x14ac:dyDescent="0.2">
      <c r="A54">
        <v>-50.2020202</v>
      </c>
      <c r="B54">
        <v>-59.696969699999997</v>
      </c>
    </row>
    <row r="55" spans="1:2" x14ac:dyDescent="0.2">
      <c r="A55">
        <v>-48.315886130000003</v>
      </c>
      <c r="B55">
        <v>-62.685950409999997</v>
      </c>
    </row>
    <row r="56" spans="1:2" x14ac:dyDescent="0.2">
      <c r="A56">
        <v>-46.436745070000001</v>
      </c>
      <c r="B56">
        <v>-65.698241150000001</v>
      </c>
    </row>
    <row r="57" spans="1:2" x14ac:dyDescent="0.2">
      <c r="A57">
        <v>-44.513385599999999</v>
      </c>
      <c r="B57">
        <v>-68.5631372</v>
      </c>
    </row>
    <row r="58" spans="1:2" x14ac:dyDescent="0.2">
      <c r="A58">
        <v>-42.508017240000001</v>
      </c>
      <c r="B58">
        <v>-71.154670249999995</v>
      </c>
    </row>
    <row r="59" spans="1:2" x14ac:dyDescent="0.2">
      <c r="A59">
        <v>-40.396270399999999</v>
      </c>
      <c r="B59">
        <v>-73.391608390000002</v>
      </c>
    </row>
    <row r="60" spans="1:2" x14ac:dyDescent="0.2">
      <c r="A60">
        <v>-38.106166559999998</v>
      </c>
      <c r="B60">
        <v>-75.275599819999996</v>
      </c>
    </row>
    <row r="61" spans="1:2" x14ac:dyDescent="0.2">
      <c r="A61">
        <v>-35.648654380000004</v>
      </c>
      <c r="B61">
        <v>-76.809587719999996</v>
      </c>
    </row>
    <row r="62" spans="1:2" x14ac:dyDescent="0.2">
      <c r="A62">
        <v>-33.183725369999998</v>
      </c>
      <c r="B62">
        <v>-77.956487960000004</v>
      </c>
    </row>
    <row r="63" spans="1:2" x14ac:dyDescent="0.2">
      <c r="A63">
        <v>-30.849002850000002</v>
      </c>
      <c r="B63">
        <v>-78.746321019999996</v>
      </c>
    </row>
    <row r="64" spans="1:2" x14ac:dyDescent="0.2">
      <c r="A64">
        <v>-28.759741940000001</v>
      </c>
      <c r="B64">
        <v>-79.276212000000001</v>
      </c>
    </row>
    <row r="65" spans="1:2" x14ac:dyDescent="0.2">
      <c r="A65">
        <v>-27.017305929999999</v>
      </c>
      <c r="B65">
        <v>-79.731581550000001</v>
      </c>
    </row>
    <row r="66" spans="1:2" x14ac:dyDescent="0.2">
      <c r="A66">
        <v>-25.621788989999999</v>
      </c>
      <c r="B66">
        <v>-80.098066919999994</v>
      </c>
    </row>
    <row r="67" spans="1:2" x14ac:dyDescent="0.2">
      <c r="A67">
        <v>-24.48517812</v>
      </c>
      <c r="B67">
        <v>-80.251818889999996</v>
      </c>
    </row>
    <row r="68" spans="1:2" x14ac:dyDescent="0.2">
      <c r="A68">
        <v>-23.50787596</v>
      </c>
      <c r="B68">
        <v>-80.164582890000005</v>
      </c>
    </row>
    <row r="69" spans="1:2" x14ac:dyDescent="0.2">
      <c r="A69">
        <v>-22.563443289999999</v>
      </c>
      <c r="B69">
        <v>-79.852840760000007</v>
      </c>
    </row>
    <row r="70" spans="1:2" x14ac:dyDescent="0.2">
      <c r="A70">
        <v>-21.499446679999998</v>
      </c>
      <c r="B70">
        <v>-79.386287109999998</v>
      </c>
    </row>
    <row r="71" spans="1:2" x14ac:dyDescent="0.2">
      <c r="A71">
        <v>-20.304231120000001</v>
      </c>
      <c r="B71">
        <v>-78.916437099999996</v>
      </c>
    </row>
    <row r="72" spans="1:2" x14ac:dyDescent="0.2">
      <c r="A72">
        <v>-19.032539849999999</v>
      </c>
      <c r="B72">
        <v>-78.219020040000004</v>
      </c>
    </row>
    <row r="73" spans="1:2" x14ac:dyDescent="0.2">
      <c r="A73">
        <v>-17.684726049999998</v>
      </c>
      <c r="B73">
        <v>-77.179251719999996</v>
      </c>
    </row>
    <row r="74" spans="1:2" x14ac:dyDescent="0.2">
      <c r="A74">
        <v>-16.274563820000001</v>
      </c>
      <c r="B74">
        <v>-75.749452570000003</v>
      </c>
    </row>
    <row r="75" spans="1:2" x14ac:dyDescent="0.2">
      <c r="A75">
        <v>-14.829248189999999</v>
      </c>
      <c r="B75">
        <v>-73.949047590000006</v>
      </c>
    </row>
    <row r="76" spans="1:2" x14ac:dyDescent="0.2">
      <c r="A76">
        <v>-13.28659556</v>
      </c>
      <c r="B76">
        <v>-71.811000449999995</v>
      </c>
    </row>
    <row r="77" spans="1:2" x14ac:dyDescent="0.2">
      <c r="A77">
        <v>-11.71180335</v>
      </c>
      <c r="B77">
        <v>-69.300699300000005</v>
      </c>
    </row>
    <row r="78" spans="1:2" x14ac:dyDescent="0.2">
      <c r="A78">
        <v>-10.21000212</v>
      </c>
      <c r="B78">
        <v>-66.487603309999997</v>
      </c>
    </row>
    <row r="79" spans="1:2" x14ac:dyDescent="0.2">
      <c r="A79">
        <v>-8.8639542280000008</v>
      </c>
      <c r="B79">
        <v>-63.485908029999997</v>
      </c>
    </row>
    <row r="80" spans="1:2" x14ac:dyDescent="0.2">
      <c r="A80">
        <v>-7.7340538250000002</v>
      </c>
      <c r="B80">
        <v>-60.454545449999998</v>
      </c>
    </row>
    <row r="81" spans="1:2" x14ac:dyDescent="0.2">
      <c r="A81">
        <v>-6.8154976339999997</v>
      </c>
      <c r="B81">
        <v>-57.575757580000001</v>
      </c>
    </row>
    <row r="82" spans="1:2" x14ac:dyDescent="0.2">
      <c r="A82">
        <v>-6.1109698379999999</v>
      </c>
      <c r="B82">
        <v>-54.696969699999997</v>
      </c>
    </row>
    <row r="83" spans="1:2" x14ac:dyDescent="0.2">
      <c r="A83">
        <v>-5.6536695630000002</v>
      </c>
      <c r="B83">
        <v>-51.81818182</v>
      </c>
    </row>
    <row r="84" spans="1:2" x14ac:dyDescent="0.2">
      <c r="A84">
        <v>-5.4320595230000004</v>
      </c>
      <c r="B84">
        <v>-48.939393940000002</v>
      </c>
    </row>
    <row r="85" spans="1:2" x14ac:dyDescent="0.2">
      <c r="A85">
        <v>-5.389866026</v>
      </c>
      <c r="B85">
        <v>-46.060606059999998</v>
      </c>
    </row>
    <row r="86" spans="1:2" x14ac:dyDescent="0.2">
      <c r="A86">
        <v>-5.4057356780000001</v>
      </c>
      <c r="B86">
        <v>-43.18181818</v>
      </c>
    </row>
    <row r="87" spans="1:2" x14ac:dyDescent="0.2">
      <c r="A87">
        <v>-5.5370723550000003</v>
      </c>
      <c r="B87">
        <v>-40.303030300000003</v>
      </c>
    </row>
    <row r="88" spans="1:2" x14ac:dyDescent="0.2">
      <c r="A88">
        <v>-5.8336276519999997</v>
      </c>
      <c r="B88">
        <v>-37.424242419999999</v>
      </c>
    </row>
    <row r="89" spans="1:2" x14ac:dyDescent="0.2">
      <c r="A89">
        <v>-6.2985802079999997</v>
      </c>
      <c r="B89">
        <v>-34.545454550000002</v>
      </c>
    </row>
    <row r="90" spans="1:2" x14ac:dyDescent="0.2">
      <c r="A90">
        <v>-6.9037931769999998</v>
      </c>
      <c r="B90">
        <v>-31.666666670000001</v>
      </c>
    </row>
    <row r="91" spans="1:2" x14ac:dyDescent="0.2">
      <c r="A91">
        <v>-7.5796425799999998</v>
      </c>
      <c r="B91">
        <v>-28.787878790000001</v>
      </c>
    </row>
    <row r="92" spans="1:2" x14ac:dyDescent="0.2">
      <c r="A92">
        <v>-8.312778131</v>
      </c>
      <c r="B92">
        <v>-25.90909091</v>
      </c>
    </row>
    <row r="93" spans="1:2" x14ac:dyDescent="0.2">
      <c r="A93">
        <v>-9.1721409900000008</v>
      </c>
      <c r="B93">
        <v>-23.030303029999999</v>
      </c>
    </row>
    <row r="94" spans="1:2" x14ac:dyDescent="0.2">
      <c r="A94">
        <v>-10.17609663</v>
      </c>
      <c r="B94">
        <v>-20.151515150000002</v>
      </c>
    </row>
    <row r="95" spans="1:2" x14ac:dyDescent="0.2">
      <c r="A95">
        <v>-11.316168680000001</v>
      </c>
      <c r="B95">
        <v>-17.272727270000001</v>
      </c>
    </row>
    <row r="96" spans="1:2" x14ac:dyDescent="0.2">
      <c r="A96">
        <v>-12.55703892</v>
      </c>
      <c r="B96">
        <v>-14.39393939</v>
      </c>
    </row>
    <row r="97" spans="1:2" x14ac:dyDescent="0.2">
      <c r="A97">
        <v>-13.87066469</v>
      </c>
      <c r="B97">
        <v>-11.51515152</v>
      </c>
    </row>
    <row r="98" spans="1:2" x14ac:dyDescent="0.2">
      <c r="A98">
        <v>-15.28353465</v>
      </c>
      <c r="B98">
        <v>-8.6363636360000005</v>
      </c>
    </row>
    <row r="99" spans="1:2" x14ac:dyDescent="0.2">
      <c r="A99">
        <v>-16.795648799999999</v>
      </c>
      <c r="B99">
        <v>-5.7575757579999998</v>
      </c>
    </row>
    <row r="100" spans="1:2" x14ac:dyDescent="0.2">
      <c r="A100">
        <v>-18.40700713</v>
      </c>
      <c r="B100">
        <v>-2.8787878789999999</v>
      </c>
    </row>
    <row r="101" spans="1:2" x14ac:dyDescent="0.2">
      <c r="A101">
        <v>-20.117609659999999</v>
      </c>
      <c r="B101" s="18">
        <v>-1.7800000000000001E-14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D1A22-A2FA-4596-A1F2-C276965E6ED6}">
  <dimension ref="A1:C2"/>
  <sheetViews>
    <sheetView workbookViewId="0">
      <selection activeCell="D5" sqref="D5"/>
    </sheetView>
  </sheetViews>
  <sheetFormatPr baseColWidth="10" defaultColWidth="8.83203125" defaultRowHeight="15" x14ac:dyDescent="0.2"/>
  <sheetData>
    <row r="1" spans="1:3" x14ac:dyDescent="0.2">
      <c r="A1" t="s">
        <v>59</v>
      </c>
      <c r="B1" t="s">
        <v>63</v>
      </c>
      <c r="C1" t="s">
        <v>64</v>
      </c>
    </row>
    <row r="2" spans="1:3" x14ac:dyDescent="0.2">
      <c r="A2">
        <v>15</v>
      </c>
      <c r="B2">
        <v>15</v>
      </c>
      <c r="C2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cee1735-a549-4fa8-8124-6a57df706800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644C24D89A9CF40853FECEB5FA74EE5" ma:contentTypeVersion="17" ma:contentTypeDescription="Create a new document." ma:contentTypeScope="" ma:versionID="594f6639bce00a67409652e8f455728d">
  <xsd:schema xmlns:xsd="http://www.w3.org/2001/XMLSchema" xmlns:xs="http://www.w3.org/2001/XMLSchema" xmlns:p="http://schemas.microsoft.com/office/2006/metadata/properties" xmlns:ns3="0cee1735-a549-4fa8-8124-6a57df706800" xmlns:ns4="67f26808-587b-4be8-a1b0-5aaebf9a113e" targetNamespace="http://schemas.microsoft.com/office/2006/metadata/properties" ma:root="true" ma:fieldsID="cf398537ddbd155d1e6db5896666274e" ns3:_="" ns4:_="">
    <xsd:import namespace="0cee1735-a549-4fa8-8124-6a57df706800"/>
    <xsd:import namespace="67f26808-587b-4be8-a1b0-5aaebf9a113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ee1735-a549-4fa8-8124-6a57df706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f26808-587b-4be8-a1b0-5aaebf9a113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2976954-C2F3-483B-9727-0EA51B3F7B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CC80EA8-3FCC-46B7-B7A2-84CCD56D9A18}">
  <ds:schemaRefs>
    <ds:schemaRef ds:uri="http://www.w3.org/XML/1998/namespace"/>
    <ds:schemaRef ds:uri="http://schemas.microsoft.com/office/infopath/2007/PartnerControls"/>
    <ds:schemaRef ds:uri="http://schemas.microsoft.com/office/2006/metadata/properties"/>
    <ds:schemaRef ds:uri="0cee1735-a549-4fa8-8124-6a57df706800"/>
    <ds:schemaRef ds:uri="http://purl.org/dc/dcmitype/"/>
    <ds:schemaRef ds:uri="http://purl.org/dc/elements/1.1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67f26808-587b-4be8-a1b0-5aaebf9a113e"/>
  </ds:schemaRefs>
</ds:datastoreItem>
</file>

<file path=customXml/itemProps3.xml><?xml version="1.0" encoding="utf-8"?>
<ds:datastoreItem xmlns:ds="http://schemas.openxmlformats.org/officeDocument/2006/customXml" ds:itemID="{D67657F0-7A92-4811-8270-79A97C792F0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ee1735-a549-4fa8-8124-6a57df706800"/>
    <ds:schemaRef ds:uri="67f26808-587b-4be8-a1b0-5aaebf9a11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PlanPropagation_Info</vt:lpstr>
      <vt:lpstr>Targets_Info</vt:lpstr>
      <vt:lpstr>Survey_Info</vt:lpstr>
      <vt:lpstr>PowerBudget_Info</vt:lpstr>
      <vt:lpstr>DataBudget_Info</vt:lpstr>
      <vt:lpstr>GroundStations_Info</vt:lpstr>
      <vt:lpstr>SAA_Info</vt:lpstr>
      <vt:lpstr>Constraints_Info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 E</dc:creator>
  <cp:lastModifiedBy>Sebastian Escobar</cp:lastModifiedBy>
  <dcterms:created xsi:type="dcterms:W3CDTF">2024-04-25T00:02:08Z</dcterms:created>
  <dcterms:modified xsi:type="dcterms:W3CDTF">2025-02-18T06:44:14Z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0x010100E644C24D89A9CF40853FECEB5FA74EE5</vt:lpwstr>
  </property>
</Properties>
</file>